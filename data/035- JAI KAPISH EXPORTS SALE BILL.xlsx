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M SAI ENTERPRISES 31 MAR 2026\SALE INVOICE\26-27\26-27 GST SALE\"/>
    </mc:Choice>
  </mc:AlternateContent>
  <bookViews>
    <workbookView xWindow="-120" yWindow="-120" windowWidth="20736" windowHeight="11160"/>
  </bookViews>
  <sheets>
    <sheet name="Invoice" sheetId="1" r:id="rId1"/>
    <sheet name="Sheet1" sheetId="5" r:id="rId2"/>
  </sheets>
  <definedNames>
    <definedName name="_xlnm.Print_Area" localSheetId="0">Invoice!$A$1:$Q$44</definedName>
  </definedNames>
  <calcPr calcId="152511"/>
</workbook>
</file>

<file path=xl/calcChain.xml><?xml version="1.0" encoding="utf-8"?>
<calcChain xmlns="http://schemas.openxmlformats.org/spreadsheetml/2006/main">
  <c r="J25" i="1" l="1"/>
  <c r="J23" i="1"/>
  <c r="P23" i="1" s="1"/>
  <c r="J26" i="1"/>
  <c r="N26" i="1" s="1"/>
  <c r="J22" i="1"/>
  <c r="G22" i="1"/>
  <c r="J24" i="1"/>
  <c r="N24" i="1" s="1"/>
  <c r="L26" i="1" l="1"/>
  <c r="N25" i="1"/>
  <c r="L25" i="1"/>
  <c r="Q25" i="1" s="1"/>
  <c r="P24" i="1"/>
  <c r="P25" i="1"/>
  <c r="L22" i="1"/>
  <c r="N22" i="1"/>
  <c r="L23" i="1"/>
  <c r="P22" i="1"/>
  <c r="N23" i="1"/>
  <c r="L24" i="1"/>
  <c r="P26" i="1"/>
  <c r="Q26" i="1" s="1"/>
  <c r="J21" i="1"/>
  <c r="J20" i="1"/>
  <c r="P20" i="1" s="1"/>
  <c r="Q20" i="1" s="1"/>
  <c r="J19" i="1"/>
  <c r="J18" i="1"/>
  <c r="N20" i="1"/>
  <c r="L20" i="1"/>
  <c r="Q24" i="1" l="1"/>
  <c r="Q22" i="1"/>
  <c r="Q23" i="1"/>
  <c r="L21" i="1"/>
  <c r="N21" i="1"/>
  <c r="P21" i="1"/>
  <c r="L19" i="1"/>
  <c r="Q19" i="1" s="1"/>
  <c r="N19" i="1"/>
  <c r="P19" i="1"/>
  <c r="H29" i="1"/>
  <c r="Q21" i="1" l="1"/>
  <c r="J20" i="5"/>
  <c r="J19" i="5"/>
  <c r="I19" i="5"/>
  <c r="F17" i="5" l="1"/>
  <c r="E17" i="5"/>
  <c r="N18" i="1" l="1"/>
  <c r="L18" i="1" l="1"/>
  <c r="P18" i="1"/>
  <c r="Q18" i="1" l="1"/>
  <c r="J29" i="1"/>
  <c r="Q29" i="1" l="1"/>
  <c r="Q32" i="1" s="1"/>
</calcChain>
</file>

<file path=xl/sharedStrings.xml><?xml version="1.0" encoding="utf-8"?>
<sst xmlns="http://schemas.openxmlformats.org/spreadsheetml/2006/main" count="83" uniqueCount="68">
  <si>
    <t>To,</t>
  </si>
  <si>
    <t xml:space="preserve">M/s. </t>
  </si>
  <si>
    <t>Description</t>
  </si>
  <si>
    <t>Transportation</t>
  </si>
  <si>
    <t>Authorized Signatory</t>
  </si>
  <si>
    <t>PO No.</t>
  </si>
  <si>
    <t>Date :</t>
  </si>
  <si>
    <t xml:space="preserve">Rate </t>
  </si>
  <si>
    <t>GSTIN :</t>
  </si>
  <si>
    <t>CGST</t>
  </si>
  <si>
    <t>(To be paid by Buyer at actuals)</t>
  </si>
  <si>
    <t>Bill No.</t>
  </si>
  <si>
    <t>Total Taxable Amount</t>
  </si>
  <si>
    <t>Total Amount After Tax</t>
  </si>
  <si>
    <t>Reverse Charge :</t>
  </si>
  <si>
    <t>IGST</t>
  </si>
  <si>
    <t>Packing/Loading/Unloading/Transport</t>
  </si>
  <si>
    <t xml:space="preserve">Challan No.  </t>
  </si>
  <si>
    <t>Qty (IN PC)</t>
  </si>
  <si>
    <t>hsn code</t>
  </si>
  <si>
    <t>SCGST</t>
  </si>
  <si>
    <t>RATE%</t>
  </si>
  <si>
    <t>AMOUNT</t>
  </si>
  <si>
    <t>TAXABLE VALUE</t>
  </si>
  <si>
    <t>SL. No.</t>
  </si>
  <si>
    <t>Bank Details :</t>
  </si>
  <si>
    <t>TERMS &amp; CONDITIONS:-</t>
  </si>
  <si>
    <t>TOTAL</t>
  </si>
  <si>
    <t>TAX INVOICE</t>
  </si>
  <si>
    <t>OM SAI ENTERPRISES</t>
  </si>
  <si>
    <t xml:space="preserve">                                                                                                       ( GSTIN:27BXXPP8115J1ZM )</t>
  </si>
  <si>
    <t>Account Name : OM SAI ENTERPRISES.</t>
  </si>
  <si>
    <t>FOR OM SAI ENTERPRISES</t>
  </si>
  <si>
    <t>1. Kindly inform of any issues related to the Invoice within 2 Days</t>
  </si>
  <si>
    <t xml:space="preserve">2. PAYMENT- AGINST ON DELIVERY. </t>
  </si>
  <si>
    <t>3. GOODS ONCE SALE DOESN'T TAKEN RETURN IF ANY MANUFACTURING DEFECTS INFORM WITHIN 2 DAYS OF DELIVERY.</t>
  </si>
  <si>
    <t>Account No. 013720110000551</t>
  </si>
  <si>
    <t>IFSC Code - BKID0000137</t>
  </si>
  <si>
    <t>Bank Name : BANK OF INDIA , GOLDEN NEST BRANCH</t>
  </si>
  <si>
    <t>KGS</t>
  </si>
  <si>
    <t>LOCAL</t>
  </si>
  <si>
    <t>MOB.: 9307020467</t>
  </si>
  <si>
    <t>NEAR VETERINARY HOSPITAL</t>
  </si>
  <si>
    <t>PANIPAT - 132103 , HARIYANA</t>
  </si>
  <si>
    <t>CONTACT- 9416009489</t>
  </si>
  <si>
    <t>SR NO</t>
  </si>
  <si>
    <t>STYLE</t>
  </si>
  <si>
    <t>PCS</t>
  </si>
  <si>
    <t>WT</t>
  </si>
  <si>
    <t>YARN DYED BATH</t>
  </si>
  <si>
    <t>YARN DYED HAND</t>
  </si>
  <si>
    <t>JAQUARED BATH TOWEL</t>
  </si>
  <si>
    <t>MILANGE BATH TOWEL</t>
  </si>
  <si>
    <t>MILANGE HAND TOWEL PK2</t>
  </si>
  <si>
    <t>4 PC TOWEL SET</t>
  </si>
  <si>
    <t>29.04.2026</t>
  </si>
  <si>
    <t>OSE-2627-035</t>
  </si>
  <si>
    <t>BLACK BATH TOWEL</t>
  </si>
  <si>
    <t>BLACK HAND TOWEL</t>
  </si>
  <si>
    <t>ORANGE BATH TOWEL</t>
  </si>
  <si>
    <t>ORANGE HAND TOWEL</t>
  </si>
  <si>
    <t>597/7 , DAYANANDA ROAD</t>
  </si>
  <si>
    <t>JAI KAPISH EXPORTS</t>
  </si>
  <si>
    <t>BLACK +ORANGE BATH TOWEL</t>
  </si>
  <si>
    <t>Amount in Words : FOUR LAKHS FORTY THREE THOUSAND SIX HUNDRED FORTY EIGHT ONLY.</t>
  </si>
  <si>
    <t>06BTXPA3720N1ZC</t>
  </si>
  <si>
    <t>DISPATCH : BULDING NO-1387/2, 2ND FLOOR, SELUMATA BUILDING ,GLOBE COMPLEX,OPP JIO PETROL PUMP, DAPODA ROAD , VAL VILLAGE,BHIWANDI-421302.</t>
  </si>
  <si>
    <t>REGISTERED : A-306 , RAJCLASSIC CHSL , OPP SHALOM HOSPITAL , INDRALOK PHASE 6 , BHAYANDER EAST , THANE -401105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</si>
</sst>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opperplate Gothic Light"/>
      <family val="2"/>
    </font>
    <font>
      <b/>
      <sz val="10"/>
      <color theme="1"/>
      <name val="Copperplate Gothic Light"/>
      <family val="2"/>
    </font>
    <font>
      <sz val="10"/>
      <color theme="1"/>
      <name val="Calibri"/>
      <family val="2"/>
      <scheme val="minor"/>
    </font>
    <font>
      <b/>
      <sz val="30"/>
      <name val="Copperplate Gothic Light"/>
      <family val="2"/>
    </font>
    <font>
      <b/>
      <sz val="11"/>
      <color theme="1"/>
      <name val="Copperplate Gothic Light"/>
      <family val="2"/>
    </font>
    <font>
      <b/>
      <sz val="9"/>
      <color theme="1"/>
      <name val="Copperplate Gothic Light"/>
      <family val="2"/>
    </font>
    <font>
      <sz val="12"/>
      <color theme="1"/>
      <name val="Calibri"/>
      <family val="2"/>
      <scheme val="minor"/>
    </font>
    <font>
      <sz val="12"/>
      <color theme="1"/>
      <name val="Copperplate Gothic Light"/>
      <family val="2"/>
    </font>
    <font>
      <b/>
      <sz val="14"/>
      <color theme="1"/>
      <name val="Copperplate Gothic Light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pperplate Gothic Light"/>
      <family val="2"/>
    </font>
    <font>
      <sz val="11"/>
      <color theme="1"/>
      <name val="Copperplate Gothic Light"/>
      <family val="2"/>
    </font>
    <font>
      <b/>
      <sz val="9"/>
      <name val="Copperplate Gothic Light"/>
      <family val="2"/>
    </font>
    <font>
      <sz val="14"/>
      <color theme="1"/>
      <name val="Calibri"/>
      <family val="2"/>
      <scheme val="minor"/>
    </font>
    <font>
      <sz val="9"/>
      <color theme="1"/>
      <name val="Copperplate Gothic Light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164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8" xfId="0" applyBorder="1"/>
    <xf numFmtId="0" fontId="1" fillId="0" borderId="8" xfId="0" applyFont="1" applyBorder="1"/>
    <xf numFmtId="9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8" xfId="0" applyFont="1" applyBorder="1"/>
    <xf numFmtId="0" fontId="1" fillId="0" borderId="7" xfId="0" applyFont="1" applyBorder="1"/>
    <xf numFmtId="0" fontId="0" fillId="0" borderId="2" xfId="0" applyBorder="1"/>
    <xf numFmtId="0" fontId="1" fillId="0" borderId="6" xfId="0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8" xfId="0" applyFont="1" applyBorder="1"/>
    <xf numFmtId="0" fontId="0" fillId="0" borderId="13" xfId="0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10" fillId="0" borderId="5" xfId="0" applyFont="1" applyBorder="1"/>
    <xf numFmtId="0" fontId="11" fillId="0" borderId="0" xfId="0" applyFont="1" applyAlignment="1">
      <alignment vertic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164" fontId="1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3" fillId="0" borderId="8" xfId="0" applyFont="1" applyBorder="1"/>
    <xf numFmtId="0" fontId="10" fillId="0" borderId="10" xfId="0" applyFont="1" applyBorder="1"/>
    <xf numFmtId="0" fontId="0" fillId="0" borderId="5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6" fillId="0" borderId="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2" fontId="12" fillId="0" borderId="2" xfId="0" applyNumberFormat="1" applyFont="1" applyBorder="1"/>
    <xf numFmtId="0" fontId="1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1" fillId="0" borderId="0" xfId="0" applyFont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6" fillId="0" borderId="6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0" xfId="0" applyNumberFormat="1" applyFont="1" applyAlignment="1">
      <alignment horizontal="left"/>
    </xf>
    <xf numFmtId="14" fontId="1" fillId="0" borderId="1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0"/>
  <sheetViews>
    <sheetView tabSelected="1" view="pageBreakPreview" zoomScale="106" zoomScaleSheetLayoutView="106" workbookViewId="0">
      <selection activeCell="B15" sqref="B15:J15"/>
    </sheetView>
  </sheetViews>
  <sheetFormatPr defaultColWidth="9.109375" defaultRowHeight="14.4" x14ac:dyDescent="0.3"/>
  <cols>
    <col min="1" max="1" width="9.6640625" customWidth="1"/>
    <col min="2" max="2" width="12.6640625" customWidth="1"/>
    <col min="3" max="4" width="9" customWidth="1"/>
    <col min="5" max="5" width="9.6640625" style="5" customWidth="1"/>
    <col min="6" max="6" width="12.109375" style="5" bestFit="1" customWidth="1"/>
    <col min="7" max="7" width="12.109375" style="5" customWidth="1"/>
    <col min="8" max="8" width="12.109375" customWidth="1"/>
    <col min="9" max="9" width="10.44140625" bestFit="1" customWidth="1"/>
    <col min="10" max="10" width="15.33203125" bestFit="1" customWidth="1"/>
    <col min="12" max="12" width="9.88671875" bestFit="1" customWidth="1"/>
    <col min="14" max="14" width="9.88671875" bestFit="1" customWidth="1"/>
    <col min="16" max="16" width="11.21875" bestFit="1" customWidth="1"/>
    <col min="17" max="17" width="15.33203125" bestFit="1" customWidth="1"/>
  </cols>
  <sheetData>
    <row r="1" spans="1:17" x14ac:dyDescent="0.3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30" customHeight="1" x14ac:dyDescent="0.3">
      <c r="A2" s="74" t="s">
        <v>29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6"/>
    </row>
    <row r="3" spans="1:17" ht="15" customHeight="1" x14ac:dyDescent="0.3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9"/>
    </row>
    <row r="4" spans="1:17" ht="15" customHeight="1" x14ac:dyDescent="0.3">
      <c r="A4" s="95" t="s">
        <v>67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7"/>
    </row>
    <row r="5" spans="1:17" ht="15" customHeight="1" x14ac:dyDescent="0.3">
      <c r="A5" s="95" t="s">
        <v>66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7"/>
    </row>
    <row r="6" spans="1:17" ht="21.75" customHeight="1" x14ac:dyDescent="0.3">
      <c r="A6" s="80" t="s">
        <v>30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2"/>
      <c r="N6" s="86" t="s">
        <v>41</v>
      </c>
      <c r="O6" s="87"/>
      <c r="P6" s="87"/>
      <c r="Q6" s="88"/>
    </row>
    <row r="7" spans="1:17" ht="17.100000000000001" customHeight="1" x14ac:dyDescent="0.3">
      <c r="A7" s="83" t="s">
        <v>28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5"/>
    </row>
    <row r="8" spans="1:17" x14ac:dyDescent="0.3">
      <c r="A8" s="38" t="s">
        <v>0</v>
      </c>
      <c r="B8" s="1"/>
      <c r="C8" s="1"/>
      <c r="D8" s="1"/>
      <c r="E8" s="1"/>
      <c r="F8" s="1"/>
      <c r="G8" s="1"/>
      <c r="H8" s="1"/>
      <c r="I8" s="17"/>
      <c r="J8" s="17"/>
      <c r="K8" s="17"/>
      <c r="L8" s="4"/>
      <c r="M8" s="3" t="s">
        <v>6</v>
      </c>
      <c r="N8" s="91" t="s">
        <v>55</v>
      </c>
      <c r="O8" s="91"/>
      <c r="P8" s="91"/>
      <c r="Q8" s="92"/>
    </row>
    <row r="9" spans="1:17" x14ac:dyDescent="0.3">
      <c r="A9" s="12" t="s">
        <v>1</v>
      </c>
      <c r="B9" s="1" t="s">
        <v>62</v>
      </c>
      <c r="C9" s="1"/>
      <c r="D9" s="1"/>
      <c r="E9" s="1"/>
      <c r="F9" s="1"/>
      <c r="G9" s="1"/>
      <c r="H9" s="1"/>
      <c r="I9" s="17"/>
      <c r="J9" s="17"/>
      <c r="K9" s="17"/>
      <c r="L9" s="4"/>
      <c r="M9" s="3" t="s">
        <v>11</v>
      </c>
      <c r="N9" s="91" t="s">
        <v>56</v>
      </c>
      <c r="O9" s="91"/>
      <c r="P9" s="91"/>
      <c r="Q9" s="92"/>
    </row>
    <row r="10" spans="1:17" x14ac:dyDescent="0.3">
      <c r="A10" s="12"/>
      <c r="B10" s="1" t="s">
        <v>61</v>
      </c>
      <c r="C10" s="1"/>
      <c r="D10" s="1"/>
      <c r="E10" s="1"/>
      <c r="F10" s="1"/>
      <c r="G10" s="1"/>
      <c r="H10" s="1"/>
      <c r="I10" s="4"/>
      <c r="J10" s="4"/>
      <c r="K10" s="4"/>
      <c r="L10" s="4"/>
      <c r="M10" s="3" t="s">
        <v>17</v>
      </c>
      <c r="N10" s="1"/>
      <c r="O10" s="93"/>
      <c r="P10" s="93"/>
      <c r="Q10" s="94"/>
    </row>
    <row r="11" spans="1:17" x14ac:dyDescent="0.3">
      <c r="A11" s="12"/>
      <c r="B11" s="1" t="s">
        <v>42</v>
      </c>
      <c r="C11" s="1"/>
      <c r="D11" s="1"/>
      <c r="E11" s="1"/>
      <c r="F11" s="1"/>
      <c r="G11" s="1"/>
      <c r="H11" s="1"/>
      <c r="I11" s="4"/>
      <c r="J11" s="4"/>
      <c r="K11" s="4"/>
      <c r="L11" s="4"/>
      <c r="M11" s="3" t="s">
        <v>5</v>
      </c>
      <c r="N11" s="1"/>
      <c r="O11" s="93"/>
      <c r="P11" s="93"/>
      <c r="Q11" s="94"/>
    </row>
    <row r="12" spans="1:17" x14ac:dyDescent="0.3">
      <c r="A12" s="12"/>
      <c r="B12" s="24" t="s">
        <v>43</v>
      </c>
      <c r="C12" s="24"/>
      <c r="D12" s="24"/>
      <c r="E12" s="24"/>
      <c r="F12" s="24"/>
      <c r="G12" s="24"/>
      <c r="H12" s="24"/>
      <c r="I12" s="26"/>
      <c r="J12" s="26"/>
      <c r="K12" s="4"/>
      <c r="L12" s="4"/>
      <c r="M12" s="1" t="s">
        <v>14</v>
      </c>
      <c r="N12" s="1"/>
      <c r="O12" s="93"/>
      <c r="P12" s="93"/>
      <c r="Q12" s="94"/>
    </row>
    <row r="13" spans="1:17" x14ac:dyDescent="0.3">
      <c r="A13" s="12"/>
      <c r="B13" s="52" t="s">
        <v>44</v>
      </c>
      <c r="C13" s="52"/>
      <c r="D13" s="1"/>
      <c r="E13" s="1"/>
      <c r="F13" s="1"/>
      <c r="G13" s="1"/>
      <c r="H13" s="1"/>
      <c r="I13" s="26"/>
      <c r="J13" s="26"/>
      <c r="K13" s="26"/>
      <c r="L13" s="26"/>
      <c r="M13" s="101"/>
      <c r="N13" s="101"/>
      <c r="O13" s="101"/>
      <c r="P13" s="101"/>
      <c r="Q13" s="102"/>
    </row>
    <row r="14" spans="1:17" ht="15.6" x14ac:dyDescent="0.3">
      <c r="A14" s="39"/>
      <c r="B14" s="4" t="s">
        <v>8</v>
      </c>
      <c r="C14" s="25" t="s">
        <v>65</v>
      </c>
      <c r="D14" s="25"/>
      <c r="E14" s="35"/>
      <c r="F14" s="25"/>
      <c r="G14" s="25"/>
      <c r="H14" s="25"/>
      <c r="I14" s="25"/>
      <c r="J14" s="25"/>
      <c r="K14" s="25"/>
      <c r="L14" s="25"/>
      <c r="Q14" s="37"/>
    </row>
    <row r="15" spans="1:17" x14ac:dyDescent="0.3">
      <c r="A15" s="14"/>
      <c r="B15" s="103"/>
      <c r="C15" s="103"/>
      <c r="D15" s="103"/>
      <c r="E15" s="103"/>
      <c r="F15" s="104"/>
      <c r="G15" s="104"/>
      <c r="H15" s="104"/>
      <c r="I15" s="104"/>
      <c r="J15" s="105"/>
      <c r="K15" s="89" t="s">
        <v>9</v>
      </c>
      <c r="L15" s="90"/>
      <c r="M15" s="90" t="s">
        <v>20</v>
      </c>
      <c r="N15" s="90"/>
      <c r="O15" s="90" t="s">
        <v>15</v>
      </c>
      <c r="P15" s="90"/>
      <c r="Q15" s="13"/>
    </row>
    <row r="16" spans="1:17" x14ac:dyDescent="0.3">
      <c r="A16" s="10" t="s">
        <v>24</v>
      </c>
      <c r="B16" s="99" t="s">
        <v>2</v>
      </c>
      <c r="C16" s="99"/>
      <c r="D16" s="99"/>
      <c r="E16" s="99"/>
      <c r="F16" s="11" t="s">
        <v>19</v>
      </c>
      <c r="G16" s="10" t="s">
        <v>18</v>
      </c>
      <c r="H16" s="32" t="s">
        <v>39</v>
      </c>
      <c r="I16" s="32" t="s">
        <v>7</v>
      </c>
      <c r="J16" s="5" t="s">
        <v>23</v>
      </c>
      <c r="K16" s="5" t="s">
        <v>21</v>
      </c>
      <c r="L16" s="5" t="s">
        <v>22</v>
      </c>
      <c r="M16" s="5" t="s">
        <v>21</v>
      </c>
      <c r="N16" s="5" t="s">
        <v>22</v>
      </c>
      <c r="O16" s="5" t="s">
        <v>21</v>
      </c>
      <c r="P16" s="5" t="s">
        <v>22</v>
      </c>
      <c r="Q16" s="22" t="s">
        <v>27</v>
      </c>
    </row>
    <row r="17" spans="1:17" x14ac:dyDescent="0.3">
      <c r="A17" s="28"/>
      <c r="B17" s="61"/>
      <c r="C17" s="62"/>
      <c r="D17" s="62"/>
      <c r="E17" s="98"/>
      <c r="F17" s="6"/>
      <c r="G17" s="28"/>
      <c r="H17" s="28"/>
      <c r="I17" s="33"/>
      <c r="J17" s="2"/>
      <c r="K17" s="7"/>
      <c r="L17" s="8"/>
      <c r="M17" s="7"/>
      <c r="N17" s="8"/>
      <c r="O17" s="7"/>
      <c r="P17" s="8"/>
      <c r="Q17" s="27"/>
    </row>
    <row r="18" spans="1:17" x14ac:dyDescent="0.3">
      <c r="A18" s="50">
        <v>1</v>
      </c>
      <c r="B18" s="58" t="s">
        <v>51</v>
      </c>
      <c r="C18" s="59"/>
      <c r="D18" s="59"/>
      <c r="E18" s="59"/>
      <c r="F18" s="51">
        <v>63026090</v>
      </c>
      <c r="G18" s="50">
        <v>9</v>
      </c>
      <c r="H18" s="50"/>
      <c r="I18" s="31">
        <v>275</v>
      </c>
      <c r="J18" s="2">
        <f>+I18*G18</f>
        <v>2475</v>
      </c>
      <c r="K18" s="7">
        <v>0</v>
      </c>
      <c r="L18" s="8">
        <f t="shared" ref="L18" si="0">J18*K18</f>
        <v>0</v>
      </c>
      <c r="M18" s="7">
        <v>0</v>
      </c>
      <c r="N18" s="8">
        <f t="shared" ref="N18" si="1">J18*M18</f>
        <v>0</v>
      </c>
      <c r="O18" s="7">
        <v>0.05</v>
      </c>
      <c r="P18" s="8">
        <f t="shared" ref="P18" si="2">J18*O18</f>
        <v>123.75</v>
      </c>
      <c r="Q18" s="27">
        <f t="shared" ref="Q18" si="3">SUM(J18,L18,N18,P18)</f>
        <v>2598.75</v>
      </c>
    </row>
    <row r="19" spans="1:17" x14ac:dyDescent="0.3">
      <c r="A19" s="54">
        <v>2</v>
      </c>
      <c r="B19" s="58" t="s">
        <v>52</v>
      </c>
      <c r="C19" s="59"/>
      <c r="D19" s="59"/>
      <c r="E19" s="59"/>
      <c r="F19" s="54">
        <v>63026090</v>
      </c>
      <c r="G19" s="54">
        <v>6</v>
      </c>
      <c r="H19" s="54"/>
      <c r="I19" s="31">
        <v>275</v>
      </c>
      <c r="J19" s="2">
        <f t="shared" ref="J19:J21" si="4">+I19*G19</f>
        <v>1650</v>
      </c>
      <c r="K19" s="7">
        <v>0</v>
      </c>
      <c r="L19" s="8">
        <f t="shared" ref="L19" si="5">J19*K19</f>
        <v>0</v>
      </c>
      <c r="M19" s="7">
        <v>0</v>
      </c>
      <c r="N19" s="8">
        <f t="shared" ref="N19" si="6">J19*M19</f>
        <v>0</v>
      </c>
      <c r="O19" s="7">
        <v>0.05</v>
      </c>
      <c r="P19" s="8">
        <f t="shared" ref="P19" si="7">J19*O19</f>
        <v>82.5</v>
      </c>
      <c r="Q19" s="27">
        <f t="shared" ref="Q19" si="8">SUM(J19,L19,N19,P19)</f>
        <v>1732.5</v>
      </c>
    </row>
    <row r="20" spans="1:17" x14ac:dyDescent="0.3">
      <c r="A20" s="54">
        <v>3</v>
      </c>
      <c r="B20" s="58" t="s">
        <v>53</v>
      </c>
      <c r="C20" s="59"/>
      <c r="D20" s="59"/>
      <c r="E20" s="59"/>
      <c r="F20" s="54">
        <v>63026090</v>
      </c>
      <c r="G20" s="54">
        <v>6</v>
      </c>
      <c r="H20" s="54"/>
      <c r="I20" s="31">
        <v>135</v>
      </c>
      <c r="J20" s="2">
        <f t="shared" si="4"/>
        <v>810</v>
      </c>
      <c r="K20" s="7">
        <v>0</v>
      </c>
      <c r="L20" s="8">
        <f t="shared" ref="L20" si="9">J20*K20</f>
        <v>0</v>
      </c>
      <c r="M20" s="7">
        <v>0</v>
      </c>
      <c r="N20" s="8">
        <f t="shared" ref="N20" si="10">J20*M20</f>
        <v>0</v>
      </c>
      <c r="O20" s="7">
        <v>0.05</v>
      </c>
      <c r="P20" s="8">
        <f t="shared" ref="P20" si="11">J20*O20</f>
        <v>40.5</v>
      </c>
      <c r="Q20" s="27">
        <f t="shared" ref="Q20" si="12">SUM(J20,L20,N20,P20)</f>
        <v>850.5</v>
      </c>
    </row>
    <row r="21" spans="1:17" x14ac:dyDescent="0.3">
      <c r="A21" s="54">
        <v>4</v>
      </c>
      <c r="B21" s="58" t="s">
        <v>54</v>
      </c>
      <c r="C21" s="59"/>
      <c r="D21" s="59"/>
      <c r="E21" s="59"/>
      <c r="F21" s="54">
        <v>63026090</v>
      </c>
      <c r="G21" s="54">
        <v>1</v>
      </c>
      <c r="H21" s="54"/>
      <c r="I21" s="31">
        <v>550</v>
      </c>
      <c r="J21" s="2">
        <f t="shared" si="4"/>
        <v>550</v>
      </c>
      <c r="K21" s="7">
        <v>0</v>
      </c>
      <c r="L21" s="8">
        <f t="shared" ref="L21" si="13">J21*K21</f>
        <v>0</v>
      </c>
      <c r="M21" s="7">
        <v>0</v>
      </c>
      <c r="N21" s="8">
        <f t="shared" ref="N21" si="14">J21*M21</f>
        <v>0</v>
      </c>
      <c r="O21" s="7">
        <v>0.05</v>
      </c>
      <c r="P21" s="8">
        <f t="shared" ref="P21" si="15">J21*O21</f>
        <v>27.5</v>
      </c>
      <c r="Q21" s="27">
        <f t="shared" ref="Q21" si="16">SUM(J21,L21,N21,P21)</f>
        <v>577.5</v>
      </c>
    </row>
    <row r="22" spans="1:17" x14ac:dyDescent="0.3">
      <c r="A22" s="55">
        <v>5</v>
      </c>
      <c r="B22" s="58" t="s">
        <v>57</v>
      </c>
      <c r="C22" s="59"/>
      <c r="D22" s="59"/>
      <c r="E22" s="59"/>
      <c r="F22" s="55">
        <v>63026090</v>
      </c>
      <c r="G22" s="55">
        <f>160*15</f>
        <v>2400</v>
      </c>
      <c r="H22" s="55">
        <v>843.8</v>
      </c>
      <c r="I22" s="31">
        <v>300</v>
      </c>
      <c r="J22" s="2">
        <f>+I22*H22</f>
        <v>253140</v>
      </c>
      <c r="K22" s="7">
        <v>0</v>
      </c>
      <c r="L22" s="8">
        <f t="shared" ref="L22:L26" si="17">J22*K22</f>
        <v>0</v>
      </c>
      <c r="M22" s="7">
        <v>0</v>
      </c>
      <c r="N22" s="8">
        <f t="shared" ref="N22:N26" si="18">J22*M22</f>
        <v>0</v>
      </c>
      <c r="O22" s="7">
        <v>0.05</v>
      </c>
      <c r="P22" s="8">
        <f t="shared" ref="P22:P26" si="19">J22*O22</f>
        <v>12657</v>
      </c>
      <c r="Q22" s="27">
        <f t="shared" ref="Q22:Q26" si="20">SUM(J22,L22,N22,P22)</f>
        <v>265797</v>
      </c>
    </row>
    <row r="23" spans="1:17" x14ac:dyDescent="0.3">
      <c r="A23" s="55">
        <v>6</v>
      </c>
      <c r="B23" s="58" t="s">
        <v>58</v>
      </c>
      <c r="C23" s="59"/>
      <c r="D23" s="59"/>
      <c r="E23" s="59"/>
      <c r="F23" s="55">
        <v>63026090</v>
      </c>
      <c r="G23" s="55">
        <v>1008</v>
      </c>
      <c r="H23" s="55">
        <v>86.22</v>
      </c>
      <c r="I23" s="31">
        <v>300</v>
      </c>
      <c r="J23" s="2">
        <f t="shared" ref="J23:J26" si="21">+I23*H23</f>
        <v>25866</v>
      </c>
      <c r="K23" s="7">
        <v>0</v>
      </c>
      <c r="L23" s="8">
        <f t="shared" si="17"/>
        <v>0</v>
      </c>
      <c r="M23" s="7">
        <v>0</v>
      </c>
      <c r="N23" s="8">
        <f t="shared" si="18"/>
        <v>0</v>
      </c>
      <c r="O23" s="7">
        <v>0.05</v>
      </c>
      <c r="P23" s="8">
        <f t="shared" si="19"/>
        <v>1293.3000000000002</v>
      </c>
      <c r="Q23" s="27">
        <f t="shared" si="20"/>
        <v>27159.3</v>
      </c>
    </row>
    <row r="24" spans="1:17" x14ac:dyDescent="0.3">
      <c r="A24" s="55">
        <v>7</v>
      </c>
      <c r="B24" s="58" t="s">
        <v>59</v>
      </c>
      <c r="C24" s="59"/>
      <c r="D24" s="59"/>
      <c r="E24" s="59"/>
      <c r="F24" s="55">
        <v>63026090</v>
      </c>
      <c r="G24" s="55">
        <v>960</v>
      </c>
      <c r="H24" s="55">
        <v>327.38</v>
      </c>
      <c r="I24" s="31">
        <v>300</v>
      </c>
      <c r="J24" s="2">
        <f t="shared" si="21"/>
        <v>98214</v>
      </c>
      <c r="K24" s="7">
        <v>0</v>
      </c>
      <c r="L24" s="8">
        <f t="shared" si="17"/>
        <v>0</v>
      </c>
      <c r="M24" s="7">
        <v>0</v>
      </c>
      <c r="N24" s="8">
        <f t="shared" si="18"/>
        <v>0</v>
      </c>
      <c r="O24" s="7">
        <v>0.05</v>
      </c>
      <c r="P24" s="8">
        <f t="shared" si="19"/>
        <v>4910.7</v>
      </c>
      <c r="Q24" s="27">
        <f t="shared" si="20"/>
        <v>103124.7</v>
      </c>
    </row>
    <row r="25" spans="1:17" x14ac:dyDescent="0.3">
      <c r="A25" s="55">
        <v>8</v>
      </c>
      <c r="B25" s="58" t="s">
        <v>60</v>
      </c>
      <c r="C25" s="59"/>
      <c r="D25" s="59"/>
      <c r="E25" s="59"/>
      <c r="F25" s="55">
        <v>63026090</v>
      </c>
      <c r="G25" s="55">
        <v>1008</v>
      </c>
      <c r="H25" s="55">
        <v>84.04</v>
      </c>
      <c r="I25" s="31">
        <v>300</v>
      </c>
      <c r="J25" s="2">
        <f t="shared" si="21"/>
        <v>25212.000000000004</v>
      </c>
      <c r="K25" s="7">
        <v>0</v>
      </c>
      <c r="L25" s="8">
        <f t="shared" si="17"/>
        <v>0</v>
      </c>
      <c r="M25" s="7">
        <v>0</v>
      </c>
      <c r="N25" s="8">
        <f t="shared" si="18"/>
        <v>0</v>
      </c>
      <c r="O25" s="7">
        <v>0.05</v>
      </c>
      <c r="P25" s="8">
        <f t="shared" si="19"/>
        <v>1260.6000000000004</v>
      </c>
      <c r="Q25" s="27">
        <f t="shared" si="20"/>
        <v>26472.600000000006</v>
      </c>
    </row>
    <row r="26" spans="1:17" x14ac:dyDescent="0.3">
      <c r="A26" s="55">
        <v>4</v>
      </c>
      <c r="B26" s="58" t="s">
        <v>63</v>
      </c>
      <c r="C26" s="59"/>
      <c r="D26" s="59"/>
      <c r="E26" s="59"/>
      <c r="F26" s="55">
        <v>63026090</v>
      </c>
      <c r="G26" s="55">
        <v>140</v>
      </c>
      <c r="H26" s="55">
        <v>48.68</v>
      </c>
      <c r="I26" s="31">
        <v>300</v>
      </c>
      <c r="J26" s="2">
        <f t="shared" si="21"/>
        <v>14604</v>
      </c>
      <c r="K26" s="7">
        <v>0</v>
      </c>
      <c r="L26" s="8">
        <f t="shared" si="17"/>
        <v>0</v>
      </c>
      <c r="M26" s="7">
        <v>0</v>
      </c>
      <c r="N26" s="8">
        <f t="shared" si="18"/>
        <v>0</v>
      </c>
      <c r="O26" s="7">
        <v>0.05</v>
      </c>
      <c r="P26" s="8">
        <f t="shared" si="19"/>
        <v>730.2</v>
      </c>
      <c r="Q26" s="27">
        <f t="shared" si="20"/>
        <v>15334.2</v>
      </c>
    </row>
    <row r="27" spans="1:17" x14ac:dyDescent="0.3">
      <c r="A27" s="55"/>
      <c r="B27" s="56"/>
      <c r="C27" s="57"/>
      <c r="D27" s="57"/>
      <c r="E27" s="57"/>
      <c r="F27" s="55"/>
      <c r="G27" s="55"/>
      <c r="H27" s="55"/>
      <c r="I27" s="31"/>
      <c r="J27" s="2"/>
      <c r="K27" s="7"/>
      <c r="L27" s="8"/>
      <c r="M27" s="7"/>
      <c r="N27" s="8"/>
      <c r="O27" s="7"/>
      <c r="P27" s="8"/>
      <c r="Q27" s="27"/>
    </row>
    <row r="28" spans="1:17" x14ac:dyDescent="0.3">
      <c r="A28" s="28"/>
      <c r="B28" s="61"/>
      <c r="C28" s="62"/>
      <c r="D28" s="62"/>
      <c r="E28" s="62"/>
      <c r="F28" s="6"/>
      <c r="G28" s="28"/>
      <c r="H28" s="28"/>
      <c r="I28" s="31"/>
      <c r="J28" s="2"/>
      <c r="K28" s="7"/>
      <c r="L28" s="8"/>
      <c r="M28" s="7"/>
      <c r="N28" s="8"/>
      <c r="O28" s="7"/>
      <c r="P28" s="8"/>
      <c r="Q28" s="27"/>
    </row>
    <row r="29" spans="1:17" x14ac:dyDescent="0.3">
      <c r="A29" s="69" t="s">
        <v>12</v>
      </c>
      <c r="B29" s="69"/>
      <c r="C29" s="69"/>
      <c r="D29" s="14"/>
      <c r="E29" s="6"/>
      <c r="F29" s="6"/>
      <c r="G29" s="6"/>
      <c r="H29" s="6">
        <f>SUM(H18:H28)</f>
        <v>1390.1200000000001</v>
      </c>
      <c r="I29" s="29"/>
      <c r="J29" s="30">
        <f>SUM(J18:J28)</f>
        <v>422521</v>
      </c>
      <c r="K29" s="29"/>
      <c r="L29" s="29"/>
      <c r="M29" s="29"/>
      <c r="N29" s="29"/>
      <c r="O29" s="29"/>
      <c r="P29" s="45"/>
      <c r="Q29" s="9">
        <f>SUM(Q17:Q28)</f>
        <v>443647.05</v>
      </c>
    </row>
    <row r="30" spans="1:17" x14ac:dyDescent="0.3">
      <c r="A30" s="69" t="s">
        <v>16</v>
      </c>
      <c r="B30" s="69"/>
      <c r="C30" s="69"/>
      <c r="D30" s="69"/>
      <c r="E30" s="69"/>
      <c r="F30" s="72" t="s">
        <v>40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49"/>
    </row>
    <row r="31" spans="1:17" x14ac:dyDescent="0.3">
      <c r="A31" s="69" t="s">
        <v>3</v>
      </c>
      <c r="B31" s="69"/>
      <c r="C31" s="69"/>
      <c r="D31" s="69" t="s">
        <v>10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5"/>
    </row>
    <row r="32" spans="1:17" x14ac:dyDescent="0.3">
      <c r="A32" s="66" t="s">
        <v>13</v>
      </c>
      <c r="B32" s="67"/>
      <c r="C32" s="68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9">
        <f>ROUNDUP(SUM(Q29,Q30,Q31),0)</f>
        <v>443648</v>
      </c>
    </row>
    <row r="33" spans="1:17" x14ac:dyDescent="0.3">
      <c r="A33" s="63" t="s">
        <v>64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5"/>
    </row>
    <row r="34" spans="1:17" x14ac:dyDescent="0.3">
      <c r="A34" s="6"/>
      <c r="B34" s="69"/>
      <c r="C34" s="69"/>
      <c r="D34" s="69"/>
      <c r="E34" s="69"/>
      <c r="F34" s="69"/>
      <c r="G34" s="69"/>
      <c r="H34" s="47"/>
      <c r="I34" s="70"/>
      <c r="J34" s="70"/>
      <c r="K34" s="70"/>
      <c r="L34" s="70"/>
      <c r="M34" s="70"/>
      <c r="N34" s="70"/>
      <c r="O34" s="71" t="s">
        <v>32</v>
      </c>
      <c r="P34" s="71"/>
      <c r="Q34" s="71"/>
    </row>
    <row r="35" spans="1:17" x14ac:dyDescent="0.3">
      <c r="A35" s="60" t="s">
        <v>25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16"/>
      <c r="P35" s="17"/>
      <c r="Q35" s="18"/>
    </row>
    <row r="36" spans="1:17" x14ac:dyDescent="0.3">
      <c r="A36" s="60" t="s">
        <v>31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19"/>
      <c r="P36" s="4"/>
      <c r="Q36" s="20"/>
    </row>
    <row r="37" spans="1:17" x14ac:dyDescent="0.3">
      <c r="A37" s="60" t="s">
        <v>36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19"/>
      <c r="P37" s="4"/>
      <c r="Q37" s="20"/>
    </row>
    <row r="38" spans="1:17" x14ac:dyDescent="0.3">
      <c r="A38" s="60" t="s">
        <v>38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19"/>
      <c r="P38" s="4"/>
      <c r="Q38" s="20"/>
    </row>
    <row r="39" spans="1:17" x14ac:dyDescent="0.3">
      <c r="A39" s="60" t="s">
        <v>37</v>
      </c>
      <c r="B39" s="60"/>
      <c r="C39" s="60"/>
      <c r="D39" s="60"/>
      <c r="E39" s="73"/>
      <c r="F39" s="73"/>
      <c r="G39" s="73"/>
      <c r="H39" s="73"/>
      <c r="I39" s="73"/>
      <c r="J39" s="60"/>
      <c r="K39" s="60"/>
      <c r="L39" s="60"/>
      <c r="M39" s="60"/>
      <c r="N39" s="60"/>
      <c r="O39" s="19"/>
      <c r="P39" s="4"/>
      <c r="Q39" s="20"/>
    </row>
    <row r="40" spans="1:17" x14ac:dyDescent="0.3">
      <c r="A40" s="21" t="s">
        <v>26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99" t="s">
        <v>4</v>
      </c>
      <c r="P40" s="99"/>
      <c r="Q40" s="99"/>
    </row>
    <row r="41" spans="1:17" x14ac:dyDescent="0.3">
      <c r="A41" s="40" t="s">
        <v>33</v>
      </c>
      <c r="B41" s="40"/>
      <c r="C41" s="40"/>
      <c r="D41" s="40"/>
      <c r="E41" s="41"/>
      <c r="F41" s="41"/>
      <c r="G41" s="41"/>
      <c r="H41" s="41"/>
      <c r="I41" s="41"/>
      <c r="J41" s="40"/>
      <c r="K41" s="40"/>
      <c r="L41" s="40"/>
      <c r="M41" s="40"/>
      <c r="N41" s="40"/>
      <c r="O41" s="40"/>
      <c r="P41" s="40"/>
      <c r="Q41" s="40"/>
    </row>
    <row r="42" spans="1:17" x14ac:dyDescent="0.3">
      <c r="A42" s="42" t="s">
        <v>34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</row>
    <row r="43" spans="1:17" x14ac:dyDescent="0.3">
      <c r="A43" s="100" t="s">
        <v>35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</row>
    <row r="44" spans="1:17" x14ac:dyDescent="0.3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</row>
    <row r="45" spans="1:17" x14ac:dyDescent="0.3">
      <c r="E45"/>
      <c r="F45"/>
      <c r="G45"/>
    </row>
    <row r="46" spans="1:17" x14ac:dyDescent="0.3">
      <c r="E46"/>
      <c r="F46"/>
      <c r="G46"/>
    </row>
    <row r="47" spans="1:17" x14ac:dyDescent="0.3">
      <c r="E47"/>
      <c r="F47"/>
      <c r="G47"/>
    </row>
    <row r="48" spans="1:17" x14ac:dyDescent="0.3">
      <c r="C48" s="4"/>
      <c r="D48" s="4"/>
      <c r="E48" s="21"/>
      <c r="F48" s="6"/>
      <c r="G48" s="6"/>
      <c r="H48" s="1"/>
    </row>
    <row r="49" spans="3:8" x14ac:dyDescent="0.3">
      <c r="C49" s="1"/>
      <c r="D49" s="1"/>
      <c r="E49" s="6"/>
      <c r="F49" s="6"/>
    </row>
    <row r="50" spans="3:8" x14ac:dyDescent="0.3">
      <c r="C50" s="23"/>
      <c r="D50" s="23"/>
      <c r="E50" s="34"/>
      <c r="F50" s="34"/>
      <c r="G50" s="34"/>
      <c r="H50" s="23"/>
    </row>
  </sheetData>
  <mergeCells count="48">
    <mergeCell ref="A5:Q5"/>
    <mergeCell ref="B26:E26"/>
    <mergeCell ref="O40:Q40"/>
    <mergeCell ref="A44:Q44"/>
    <mergeCell ref="O13:Q13"/>
    <mergeCell ref="B15:J15"/>
    <mergeCell ref="F30:P30"/>
    <mergeCell ref="A31:C31"/>
    <mergeCell ref="D31:P31"/>
    <mergeCell ref="B16:E16"/>
    <mergeCell ref="M13:N13"/>
    <mergeCell ref="A37:N37"/>
    <mergeCell ref="A35:N35"/>
    <mergeCell ref="A29:C29"/>
    <mergeCell ref="A30:E30"/>
    <mergeCell ref="A43:Q43"/>
    <mergeCell ref="A39:N39"/>
    <mergeCell ref="A2:Q3"/>
    <mergeCell ref="A6:M6"/>
    <mergeCell ref="A7:Q7"/>
    <mergeCell ref="N6:Q6"/>
    <mergeCell ref="K15:L15"/>
    <mergeCell ref="M15:N15"/>
    <mergeCell ref="O15:P15"/>
    <mergeCell ref="N8:Q8"/>
    <mergeCell ref="N9:Q9"/>
    <mergeCell ref="O10:Q10"/>
    <mergeCell ref="O11:Q11"/>
    <mergeCell ref="O12:Q12"/>
    <mergeCell ref="A4:Q4"/>
    <mergeCell ref="B17:E17"/>
    <mergeCell ref="B25:E25"/>
    <mergeCell ref="B19:E19"/>
    <mergeCell ref="B18:E18"/>
    <mergeCell ref="B20:E20"/>
    <mergeCell ref="A38:N38"/>
    <mergeCell ref="B28:E28"/>
    <mergeCell ref="A36:N36"/>
    <mergeCell ref="A33:Q33"/>
    <mergeCell ref="A32:C32"/>
    <mergeCell ref="B34:G34"/>
    <mergeCell ref="I34:N34"/>
    <mergeCell ref="O34:Q34"/>
    <mergeCell ref="B21:E21"/>
    <mergeCell ref="B22:E22"/>
    <mergeCell ref="B23:E23"/>
    <mergeCell ref="B24:E24"/>
    <mergeCell ref="D32:P32"/>
  </mergeCells>
  <printOptions horizontalCentered="1" verticalCentered="1"/>
  <pageMargins left="0.25" right="0" top="0.15748031496062992" bottom="0.35433070866141736" header="0.31496062992125984" footer="0.31496062992125984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0"/>
  <sheetViews>
    <sheetView workbookViewId="0">
      <selection activeCell="J21" sqref="J21"/>
    </sheetView>
  </sheetViews>
  <sheetFormatPr defaultRowHeight="14.4" x14ac:dyDescent="0.3"/>
  <cols>
    <col min="4" max="4" width="16.5546875" customWidth="1"/>
  </cols>
  <sheetData>
    <row r="3" spans="3:6" x14ac:dyDescent="0.3">
      <c r="C3" s="46" t="s">
        <v>45</v>
      </c>
      <c r="D3" s="46" t="s">
        <v>46</v>
      </c>
      <c r="E3" s="46" t="s">
        <v>47</v>
      </c>
      <c r="F3" s="46" t="s">
        <v>48</v>
      </c>
    </row>
    <row r="4" spans="3:6" x14ac:dyDescent="0.3">
      <c r="C4" s="46">
        <v>1</v>
      </c>
      <c r="D4" s="46" t="s">
        <v>49</v>
      </c>
      <c r="E4" s="46">
        <v>94</v>
      </c>
      <c r="F4" s="46">
        <v>54.74</v>
      </c>
    </row>
    <row r="5" spans="3:6" x14ac:dyDescent="0.3">
      <c r="C5" s="46">
        <v>2</v>
      </c>
      <c r="D5" s="46" t="s">
        <v>49</v>
      </c>
      <c r="E5" s="46">
        <v>96</v>
      </c>
      <c r="F5" s="46">
        <v>53.52</v>
      </c>
    </row>
    <row r="6" spans="3:6" x14ac:dyDescent="0.3">
      <c r="C6" s="46">
        <v>3</v>
      </c>
      <c r="D6" s="46" t="s">
        <v>49</v>
      </c>
      <c r="E6" s="46">
        <v>94</v>
      </c>
      <c r="F6" s="46">
        <v>50.42</v>
      </c>
    </row>
    <row r="7" spans="3:6" x14ac:dyDescent="0.3">
      <c r="C7" s="46">
        <v>4</v>
      </c>
      <c r="D7" s="46" t="s">
        <v>49</v>
      </c>
      <c r="E7" s="46">
        <v>96</v>
      </c>
      <c r="F7" s="46">
        <v>57.82</v>
      </c>
    </row>
    <row r="8" spans="3:6" x14ac:dyDescent="0.3">
      <c r="C8" s="46">
        <v>5</v>
      </c>
      <c r="D8" s="46" t="s">
        <v>49</v>
      </c>
      <c r="E8" s="46">
        <v>95</v>
      </c>
      <c r="F8" s="46">
        <v>58.3</v>
      </c>
    </row>
    <row r="9" spans="3:6" x14ac:dyDescent="0.3">
      <c r="C9" s="46">
        <v>6</v>
      </c>
      <c r="D9" s="46" t="s">
        <v>49</v>
      </c>
      <c r="E9" s="46">
        <v>96</v>
      </c>
      <c r="F9" s="46">
        <v>56.36</v>
      </c>
    </row>
    <row r="10" spans="3:6" x14ac:dyDescent="0.3">
      <c r="C10" s="46">
        <v>7</v>
      </c>
      <c r="D10" s="46" t="s">
        <v>49</v>
      </c>
      <c r="E10" s="46">
        <v>92</v>
      </c>
      <c r="F10" s="46">
        <v>53.36</v>
      </c>
    </row>
    <row r="11" spans="3:6" x14ac:dyDescent="0.3">
      <c r="C11" s="46">
        <v>8</v>
      </c>
      <c r="D11" s="46" t="s">
        <v>49</v>
      </c>
      <c r="E11" s="46">
        <v>90</v>
      </c>
      <c r="F11" s="46">
        <v>54.54</v>
      </c>
    </row>
    <row r="12" spans="3:6" x14ac:dyDescent="0.3">
      <c r="C12" s="46">
        <v>9</v>
      </c>
      <c r="D12" s="46" t="s">
        <v>49</v>
      </c>
      <c r="E12" s="46">
        <v>97</v>
      </c>
      <c r="F12" s="46">
        <v>53.52</v>
      </c>
    </row>
    <row r="13" spans="3:6" x14ac:dyDescent="0.3">
      <c r="C13" s="46">
        <v>10</v>
      </c>
      <c r="D13" s="46" t="s">
        <v>49</v>
      </c>
      <c r="E13" s="46">
        <v>100</v>
      </c>
      <c r="F13" s="46">
        <v>50.48</v>
      </c>
    </row>
    <row r="14" spans="3:6" x14ac:dyDescent="0.3">
      <c r="C14" s="46">
        <v>11</v>
      </c>
      <c r="D14" s="46" t="s">
        <v>49</v>
      </c>
      <c r="E14" s="46">
        <v>83</v>
      </c>
      <c r="F14" s="46">
        <v>53.58</v>
      </c>
    </row>
    <row r="15" spans="3:6" x14ac:dyDescent="0.3">
      <c r="C15" s="46">
        <v>12</v>
      </c>
      <c r="D15" s="46" t="s">
        <v>50</v>
      </c>
      <c r="E15" s="46">
        <v>420</v>
      </c>
      <c r="F15" s="46">
        <v>53.46</v>
      </c>
    </row>
    <row r="16" spans="3:6" x14ac:dyDescent="0.3">
      <c r="C16" s="46">
        <v>13</v>
      </c>
      <c r="D16" s="46" t="s">
        <v>50</v>
      </c>
      <c r="E16" s="46">
        <v>434</v>
      </c>
      <c r="F16" s="46">
        <v>54.16</v>
      </c>
    </row>
    <row r="17" spans="3:10" x14ac:dyDescent="0.3">
      <c r="C17" s="53"/>
      <c r="D17" s="53"/>
      <c r="E17" s="48">
        <f>SUM(E4:E16)</f>
        <v>1887</v>
      </c>
      <c r="F17" s="48">
        <f>SUM(F4:F16)</f>
        <v>704.2600000000001</v>
      </c>
    </row>
    <row r="19" spans="3:10" x14ac:dyDescent="0.3">
      <c r="I19">
        <f>730.3/13</f>
        <v>56.176923076923075</v>
      </c>
      <c r="J19">
        <f>362.04/7</f>
        <v>51.720000000000006</v>
      </c>
    </row>
    <row r="20" spans="3:10" x14ac:dyDescent="0.3">
      <c r="J20">
        <f>+J19/600</f>
        <v>8.6200000000000013E-2</v>
      </c>
    </row>
  </sheetData>
  <pageMargins left="0.7" right="0.7" top="0.75" bottom="0.75" header="0.3" footer="0.3"/>
  <pageSetup paperSize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</vt:lpstr>
      <vt:lpstr>Sheet1</vt:lpstr>
      <vt:lpstr>Invoice!Print_Area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Anandshah</dc:creator>
  <cp:lastModifiedBy>Admin</cp:lastModifiedBy>
  <cp:lastPrinted>2026-04-29T04:35:18Z</cp:lastPrinted>
  <dcterms:created xsi:type="dcterms:W3CDTF">2015-01-14T13:47:06Z</dcterms:created>
  <dcterms:modified xsi:type="dcterms:W3CDTF">2026-05-12T06:17:50Z</dcterms:modified>
</cp:coreProperties>
</file>