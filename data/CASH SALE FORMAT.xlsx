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M SAI ENTERPRISES 31 MAR 2026\SALE INVOICE\25-26\25-26 -CREDIT NOTE\SOFTWAR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1" l="1"/>
  <c r="G88" i="1"/>
  <c r="G87" i="1"/>
  <c r="G86" i="1"/>
  <c r="G85" i="1"/>
  <c r="G84" i="1"/>
  <c r="G83" i="1"/>
  <c r="G82" i="1"/>
  <c r="G81" i="1"/>
  <c r="G80" i="1"/>
  <c r="G79" i="1"/>
  <c r="G78" i="1"/>
  <c r="F77" i="1"/>
  <c r="G77" i="1" s="1"/>
  <c r="F76" i="1"/>
  <c r="G76" i="1" s="1"/>
  <c r="G75" i="1"/>
  <c r="G74" i="1"/>
  <c r="G73" i="1"/>
  <c r="G72" i="1"/>
  <c r="G71" i="1"/>
  <c r="G70" i="1"/>
  <c r="G69" i="1"/>
  <c r="G68" i="1"/>
  <c r="G67" i="1"/>
  <c r="G66" i="1"/>
  <c r="G65" i="1"/>
  <c r="G64" i="1"/>
  <c r="F63" i="1"/>
  <c r="G63" i="1" s="1"/>
  <c r="G62" i="1"/>
  <c r="G61" i="1"/>
  <c r="G60" i="1"/>
  <c r="G59" i="1"/>
  <c r="G58" i="1"/>
  <c r="F57" i="1"/>
  <c r="G57" i="1" s="1"/>
  <c r="G56" i="1"/>
  <c r="F55" i="1"/>
  <c r="G55" i="1" s="1"/>
  <c r="G54" i="1"/>
  <c r="G53" i="1"/>
  <c r="G52" i="1"/>
  <c r="G51" i="1"/>
  <c r="G50" i="1"/>
  <c r="G49" i="1"/>
  <c r="F48" i="1"/>
  <c r="G48" i="1" s="1"/>
  <c r="F47" i="1"/>
  <c r="G47" i="1" s="1"/>
  <c r="G46" i="1"/>
  <c r="G45" i="1"/>
  <c r="G44" i="1"/>
  <c r="G43" i="1"/>
  <c r="G42" i="1"/>
  <c r="G41" i="1"/>
  <c r="O40" i="1"/>
  <c r="M40" i="1" s="1"/>
  <c r="G40" i="1"/>
  <c r="G39" i="1"/>
  <c r="M38" i="1"/>
  <c r="G38" i="1"/>
  <c r="M37" i="1"/>
  <c r="M39" i="1" s="1"/>
  <c r="F37" i="1"/>
  <c r="G37" i="1" s="1"/>
  <c r="F36" i="1"/>
  <c r="G36" i="1" s="1"/>
  <c r="G35" i="1"/>
  <c r="G34" i="1"/>
  <c r="F34" i="1"/>
  <c r="M33" i="1"/>
  <c r="F33" i="1"/>
  <c r="G33" i="1" s="1"/>
  <c r="G32" i="1"/>
  <c r="G31" i="1"/>
  <c r="G30" i="1"/>
  <c r="G29" i="1"/>
  <c r="G28" i="1"/>
  <c r="M27" i="1"/>
  <c r="M28" i="1" s="1"/>
  <c r="G27" i="1"/>
  <c r="L26" i="1"/>
  <c r="G26" i="1"/>
  <c r="G25" i="1"/>
  <c r="G24" i="1"/>
  <c r="F24" i="1"/>
  <c r="F23" i="1"/>
  <c r="G23" i="1" s="1"/>
  <c r="F22" i="1"/>
  <c r="G22" i="1" s="1"/>
  <c r="L21" i="1"/>
  <c r="L22" i="1" s="1"/>
  <c r="M22" i="1" s="1"/>
  <c r="L23" i="1" s="1"/>
  <c r="F21" i="1"/>
  <c r="G21" i="1" s="1"/>
  <c r="G20" i="1"/>
  <c r="F20" i="1"/>
  <c r="G19" i="1"/>
  <c r="G18" i="1"/>
  <c r="G17" i="1"/>
  <c r="F17" i="1"/>
  <c r="G16" i="1"/>
  <c r="G15" i="1"/>
  <c r="G14" i="1"/>
  <c r="G13" i="1"/>
  <c r="G12" i="1"/>
  <c r="G11" i="1"/>
  <c r="G10" i="1"/>
  <c r="F10" i="1"/>
  <c r="F9" i="1"/>
  <c r="G9" i="1" s="1"/>
  <c r="G8" i="1"/>
  <c r="F8" i="1"/>
  <c r="F89" i="1" s="1"/>
  <c r="G7" i="1"/>
  <c r="G6" i="1"/>
  <c r="G5" i="1"/>
  <c r="G4" i="1"/>
  <c r="G3" i="1"/>
  <c r="G2" i="1"/>
  <c r="G89" i="1" l="1"/>
</calcChain>
</file>

<file path=xl/sharedStrings.xml><?xml version="1.0" encoding="utf-8"?>
<sst xmlns="http://schemas.openxmlformats.org/spreadsheetml/2006/main" count="182" uniqueCount="43">
  <si>
    <r>
      <rPr>
        <b/>
        <sz val="10"/>
        <rFont val="Calibri"/>
        <family val="1"/>
      </rPr>
      <t xml:space="preserve">INVOICE
</t>
    </r>
    <r>
      <rPr>
        <b/>
        <sz val="10"/>
        <rFont val="Calibri"/>
        <family val="1"/>
      </rPr>
      <t>NO.</t>
    </r>
  </si>
  <si>
    <r>
      <rPr>
        <b/>
        <sz val="10"/>
        <rFont val="Calibri"/>
        <family val="1"/>
      </rPr>
      <t xml:space="preserve">INVOICE
</t>
    </r>
    <r>
      <rPr>
        <b/>
        <sz val="10"/>
        <rFont val="Calibri"/>
        <family val="1"/>
      </rPr>
      <t>DATE</t>
    </r>
  </si>
  <si>
    <r>
      <rPr>
        <b/>
        <sz val="10"/>
        <rFont val="Calibri"/>
        <family val="1"/>
      </rPr>
      <t>CUSTOMER</t>
    </r>
  </si>
  <si>
    <r>
      <rPr>
        <b/>
        <sz val="10"/>
        <rFont val="Calibri"/>
        <family val="1"/>
      </rPr>
      <t>DESTINATION</t>
    </r>
  </si>
  <si>
    <r>
      <rPr>
        <b/>
        <sz val="10"/>
        <rFont val="Calibri"/>
        <family val="1"/>
      </rPr>
      <t xml:space="preserve">FINAL
</t>
    </r>
    <r>
      <rPr>
        <b/>
        <sz val="10"/>
        <rFont val="Calibri"/>
        <family val="1"/>
      </rPr>
      <t>AMOUNT</t>
    </r>
  </si>
  <si>
    <r>
      <rPr>
        <b/>
        <sz val="10"/>
        <rFont val="Calibri"/>
        <family val="1"/>
      </rPr>
      <t xml:space="preserve">RECEIVED
</t>
    </r>
    <r>
      <rPr>
        <b/>
        <sz val="10"/>
        <rFont val="Calibri"/>
        <family val="1"/>
      </rPr>
      <t>AMOUNT</t>
    </r>
  </si>
  <si>
    <r>
      <rPr>
        <b/>
        <sz val="10"/>
        <rFont val="Calibri"/>
        <family val="1"/>
      </rPr>
      <t xml:space="preserve">BALANCE
</t>
    </r>
    <r>
      <rPr>
        <b/>
        <sz val="10"/>
        <rFont val="Calibri"/>
        <family val="1"/>
      </rPr>
      <t>AMOUNT</t>
    </r>
  </si>
  <si>
    <t>CONTACT NUMBER</t>
  </si>
  <si>
    <t>ALISHAN CAR FASHION</t>
  </si>
  <si>
    <t>BHUBANESWAR</t>
  </si>
  <si>
    <t>ADITYA SPA</t>
  </si>
  <si>
    <t>B S HOME DÉCOR</t>
  </si>
  <si>
    <r>
      <rPr>
        <sz val="8"/>
        <rFont val="Calibri"/>
        <family val="1"/>
      </rPr>
      <t>CAR CONCEPT</t>
    </r>
  </si>
  <si>
    <r>
      <rPr>
        <sz val="8"/>
        <rFont val="Calibri"/>
        <family val="1"/>
      </rPr>
      <t>BHUBANESWAR</t>
    </r>
  </si>
  <si>
    <t>CAR PALACE</t>
  </si>
  <si>
    <t>CAR FASHION &amp; SEAT COVER</t>
  </si>
  <si>
    <t>9439591023/9938653905</t>
  </si>
  <si>
    <t>CAR MUSIC ZONE</t>
  </si>
  <si>
    <r>
      <rPr>
        <sz val="8"/>
        <rFont val="Calibri"/>
        <family val="1"/>
      </rPr>
      <t>ELEGANT CAR DÉCOR</t>
    </r>
  </si>
  <si>
    <t>2000 D</t>
  </si>
  <si>
    <t>EXPORT CAR FASHION</t>
  </si>
  <si>
    <t>FRONT LINE CAR FASHION</t>
  </si>
  <si>
    <r>
      <rPr>
        <sz val="8"/>
        <rFont val="Calibri"/>
        <family val="1"/>
      </rPr>
      <t>HARYANA HOME FINE</t>
    </r>
  </si>
  <si>
    <t>HARIYANA HANDLOOM HOUSE</t>
  </si>
  <si>
    <t>JAGADAMBA CLOTH STORE</t>
  </si>
  <si>
    <t>KARIZMA CAR SIGGNER</t>
  </si>
  <si>
    <t>KARIZMA CAR WHEELS</t>
  </si>
  <si>
    <t>KISHAN GARMENT</t>
  </si>
  <si>
    <t>MAA BIMALA ENTERPRISES</t>
  </si>
  <si>
    <r>
      <rPr>
        <sz val="8"/>
        <rFont val="Calibri"/>
        <family val="1"/>
      </rPr>
      <t>MAA TARINI SAREE CENTER</t>
    </r>
  </si>
  <si>
    <r>
      <rPr>
        <sz val="8"/>
        <rFont val="Calibri"/>
        <family val="1"/>
      </rPr>
      <t>MUSCLE TALHE MALTY</t>
    </r>
  </si>
  <si>
    <t>PLAZZA CAR FASHION</t>
  </si>
  <si>
    <t>RAJDHANI HANDLOOM</t>
  </si>
  <si>
    <t>SAHOO CAR DECORATE</t>
  </si>
  <si>
    <t>PAHAL</t>
  </si>
  <si>
    <t>SAHOO CAR DÉCOR</t>
  </si>
  <si>
    <t>SWASTICK CAR FASHION</t>
  </si>
  <si>
    <r>
      <rPr>
        <sz val="8"/>
        <rFont val="Calibri"/>
        <family val="1"/>
      </rPr>
      <t>SONAM GARMENTS (NAYAPALI)</t>
    </r>
  </si>
  <si>
    <r>
      <rPr>
        <sz val="8"/>
        <rFont val="Calibri"/>
        <family val="1"/>
      </rPr>
      <t>NAYAPALI BBSR</t>
    </r>
  </si>
  <si>
    <t>SIYA CAR MART</t>
  </si>
  <si>
    <t>STAR CAR FASHION</t>
  </si>
  <si>
    <t>VIJAY CAR FASHION</t>
  </si>
  <si>
    <t xml:space="preserve">WINNQ Y JEANS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</si>
</sst>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1"/>
    </font>
    <font>
      <b/>
      <sz val="1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8"/>
      <name val="Calibri"/>
      <family val="1"/>
    </font>
    <font>
      <b/>
      <sz val="8"/>
      <color rgb="FFFF0000"/>
      <name val="Calibri"/>
      <family val="2"/>
    </font>
    <font>
      <sz val="9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  <xf numFmtId="1" fontId="3" fillId="2" borderId="2" xfId="0" applyNumberFormat="1" applyFont="1" applyFill="1" applyBorder="1" applyAlignment="1">
      <alignment horizontal="center" shrinkToFit="1"/>
    </xf>
    <xf numFmtId="164" fontId="4" fillId="2" borderId="2" xfId="0" applyNumberFormat="1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wrapText="1"/>
    </xf>
    <xf numFmtId="1" fontId="7" fillId="2" borderId="2" xfId="0" applyNumberFormat="1" applyFont="1" applyFill="1" applyBorder="1" applyAlignment="1">
      <alignment horizontal="center" shrinkToFi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/>
    </xf>
    <xf numFmtId="15" fontId="0" fillId="2" borderId="0" xfId="0" applyNumberFormat="1" applyFill="1"/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/>
    <xf numFmtId="1" fontId="8" fillId="0" borderId="6" xfId="0" applyNumberFormat="1" applyFont="1" applyBorder="1" applyAlignment="1">
      <alignment horizontal="center" vertical="top" shrinkToFit="1"/>
    </xf>
    <xf numFmtId="164" fontId="4" fillId="0" borderId="6" xfId="0" applyNumberFormat="1" applyFont="1" applyBorder="1" applyAlignment="1">
      <alignment horizontal="center" vertical="top" shrinkToFit="1"/>
    </xf>
    <xf numFmtId="0" fontId="6" fillId="3" borderId="6" xfId="0" applyFont="1" applyFill="1" applyBorder="1" applyAlignment="1">
      <alignment horizontal="center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vertical="top"/>
    </xf>
    <xf numFmtId="1" fontId="8" fillId="2" borderId="2" xfId="0" applyNumberFormat="1" applyFont="1" applyFill="1" applyBorder="1" applyAlignment="1">
      <alignment horizontal="center" shrinkToFit="1"/>
    </xf>
    <xf numFmtId="1" fontId="9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workbookViewId="0">
      <selection activeCell="AX7" sqref="AX7"/>
    </sheetView>
  </sheetViews>
  <sheetFormatPr defaultRowHeight="14.4" x14ac:dyDescent="0.3"/>
  <cols>
    <col min="1" max="1" width="8.88671875" style="5"/>
    <col min="2" max="2" width="10" style="5" bestFit="1" customWidth="1"/>
    <col min="3" max="3" width="25" style="5" customWidth="1"/>
    <col min="4" max="4" width="17" style="5" customWidth="1"/>
    <col min="5" max="7" width="8.88671875" style="5"/>
    <col min="8" max="8" width="23.6640625" style="5" hidden="1" customWidth="1"/>
    <col min="9" max="10" width="0" style="5" hidden="1" customWidth="1"/>
    <col min="11" max="11" width="9.44140625" style="5" hidden="1" customWidth="1"/>
    <col min="12" max="13" width="0" style="5" hidden="1" customWidth="1"/>
    <col min="14" max="14" width="9.33203125" style="5" hidden="1" customWidth="1"/>
    <col min="15" max="45" width="0" style="5" hidden="1" customWidth="1"/>
    <col min="46" max="16384" width="8.88671875" style="5"/>
  </cols>
  <sheetData>
    <row r="1" spans="1:8" ht="27.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 t="s">
        <v>7</v>
      </c>
    </row>
    <row r="2" spans="1:8" x14ac:dyDescent="0.3">
      <c r="A2" s="6">
        <v>252</v>
      </c>
      <c r="B2" s="7">
        <v>45991</v>
      </c>
      <c r="C2" s="8" t="s">
        <v>8</v>
      </c>
      <c r="D2" s="8" t="s">
        <v>9</v>
      </c>
      <c r="E2" s="6">
        <v>4840</v>
      </c>
      <c r="F2" s="6">
        <v>4840</v>
      </c>
      <c r="G2" s="6">
        <f>+E2-F2</f>
        <v>0</v>
      </c>
      <c r="H2" s="9">
        <v>8658512793</v>
      </c>
    </row>
    <row r="3" spans="1:8" x14ac:dyDescent="0.3">
      <c r="A3" s="6">
        <v>282</v>
      </c>
      <c r="B3" s="7">
        <v>46060</v>
      </c>
      <c r="C3" s="8" t="s">
        <v>8</v>
      </c>
      <c r="D3" s="8" t="s">
        <v>9</v>
      </c>
      <c r="E3" s="6">
        <v>1320</v>
      </c>
      <c r="F3" s="6">
        <v>1160</v>
      </c>
      <c r="G3" s="6">
        <f t="shared" ref="G3:G66" si="0">+E3-F3</f>
        <v>160</v>
      </c>
      <c r="H3" s="9">
        <v>8658512793</v>
      </c>
    </row>
    <row r="4" spans="1:8" x14ac:dyDescent="0.3">
      <c r="A4" s="6">
        <v>174</v>
      </c>
      <c r="B4" s="7">
        <v>45886</v>
      </c>
      <c r="C4" s="8" t="s">
        <v>10</v>
      </c>
      <c r="D4" s="8" t="s">
        <v>9</v>
      </c>
      <c r="E4" s="6">
        <v>3762</v>
      </c>
      <c r="F4" s="6">
        <v>3762</v>
      </c>
      <c r="G4" s="6">
        <f t="shared" si="0"/>
        <v>0</v>
      </c>
      <c r="H4" s="9">
        <v>7682960885</v>
      </c>
    </row>
    <row r="5" spans="1:8" x14ac:dyDescent="0.3">
      <c r="A5" s="6">
        <v>182</v>
      </c>
      <c r="B5" s="7">
        <v>45892</v>
      </c>
      <c r="C5" s="8" t="s">
        <v>10</v>
      </c>
      <c r="D5" s="8" t="s">
        <v>9</v>
      </c>
      <c r="E5" s="6">
        <v>9158</v>
      </c>
      <c r="F5" s="6">
        <v>9158</v>
      </c>
      <c r="G5" s="6">
        <f t="shared" si="0"/>
        <v>0</v>
      </c>
      <c r="H5" s="9">
        <v>7682960885</v>
      </c>
    </row>
    <row r="6" spans="1:8" x14ac:dyDescent="0.3">
      <c r="A6" s="6">
        <v>215</v>
      </c>
      <c r="B6" s="7">
        <v>45943</v>
      </c>
      <c r="C6" s="8" t="s">
        <v>10</v>
      </c>
      <c r="D6" s="8" t="s">
        <v>9</v>
      </c>
      <c r="E6" s="6">
        <v>1323</v>
      </c>
      <c r="F6" s="6">
        <v>1323</v>
      </c>
      <c r="G6" s="6">
        <f t="shared" si="0"/>
        <v>0</v>
      </c>
      <c r="H6" s="9">
        <v>7682960885</v>
      </c>
    </row>
    <row r="7" spans="1:8" x14ac:dyDescent="0.3">
      <c r="A7" s="6">
        <v>180</v>
      </c>
      <c r="B7" s="7">
        <v>46022</v>
      </c>
      <c r="C7" s="10" t="s">
        <v>11</v>
      </c>
      <c r="D7" s="10" t="s">
        <v>9</v>
      </c>
      <c r="E7" s="6">
        <v>36225</v>
      </c>
      <c r="F7" s="11"/>
      <c r="G7" s="6">
        <f t="shared" si="0"/>
        <v>36225</v>
      </c>
      <c r="H7" s="9"/>
    </row>
    <row r="8" spans="1:8" x14ac:dyDescent="0.3">
      <c r="A8" s="6">
        <v>178</v>
      </c>
      <c r="B8" s="7">
        <v>45636</v>
      </c>
      <c r="C8" s="8" t="s">
        <v>12</v>
      </c>
      <c r="D8" s="8" t="s">
        <v>13</v>
      </c>
      <c r="E8" s="6">
        <v>4900</v>
      </c>
      <c r="F8" s="12">
        <f>1500+2000+1400</f>
        <v>4900</v>
      </c>
      <c r="G8" s="6">
        <f t="shared" si="0"/>
        <v>0</v>
      </c>
      <c r="H8" s="13">
        <v>9556234340</v>
      </c>
    </row>
    <row r="9" spans="1:8" x14ac:dyDescent="0.3">
      <c r="A9" s="6">
        <v>196</v>
      </c>
      <c r="B9" s="7">
        <v>45675</v>
      </c>
      <c r="C9" s="8" t="s">
        <v>12</v>
      </c>
      <c r="D9" s="8" t="s">
        <v>13</v>
      </c>
      <c r="E9" s="6">
        <v>2600</v>
      </c>
      <c r="F9" s="6">
        <f>220+2380</f>
        <v>2600</v>
      </c>
      <c r="G9" s="6">
        <f t="shared" si="0"/>
        <v>0</v>
      </c>
      <c r="H9" s="14"/>
    </row>
    <row r="10" spans="1:8" x14ac:dyDescent="0.3">
      <c r="A10" s="6">
        <v>163</v>
      </c>
      <c r="B10" s="7">
        <v>45865</v>
      </c>
      <c r="C10" s="8" t="s">
        <v>14</v>
      </c>
      <c r="D10" s="8" t="s">
        <v>9</v>
      </c>
      <c r="E10" s="6">
        <v>2820</v>
      </c>
      <c r="F10" s="6">
        <f>1540+150+1130</f>
        <v>2820</v>
      </c>
      <c r="G10" s="6">
        <f t="shared" si="0"/>
        <v>0</v>
      </c>
      <c r="H10" s="15"/>
    </row>
    <row r="11" spans="1:8" x14ac:dyDescent="0.3">
      <c r="A11" s="6">
        <v>211</v>
      </c>
      <c r="B11" s="7">
        <v>45931</v>
      </c>
      <c r="C11" s="8" t="s">
        <v>14</v>
      </c>
      <c r="D11" s="8" t="s">
        <v>9</v>
      </c>
      <c r="E11" s="6">
        <v>1500</v>
      </c>
      <c r="F11" s="6">
        <v>1500</v>
      </c>
      <c r="G11" s="6">
        <f t="shared" si="0"/>
        <v>0</v>
      </c>
      <c r="H11" s="15"/>
    </row>
    <row r="12" spans="1:8" x14ac:dyDescent="0.3">
      <c r="A12" s="6">
        <v>242</v>
      </c>
      <c r="B12" s="7">
        <v>45975</v>
      </c>
      <c r="C12" s="8" t="s">
        <v>14</v>
      </c>
      <c r="D12" s="8" t="s">
        <v>9</v>
      </c>
      <c r="E12" s="6">
        <v>2400</v>
      </c>
      <c r="F12" s="6">
        <v>370</v>
      </c>
      <c r="G12" s="6">
        <f t="shared" si="0"/>
        <v>2030</v>
      </c>
      <c r="H12" s="15"/>
    </row>
    <row r="13" spans="1:8" x14ac:dyDescent="0.3">
      <c r="A13" s="6">
        <v>247</v>
      </c>
      <c r="B13" s="7">
        <v>45985</v>
      </c>
      <c r="C13" s="8" t="s">
        <v>14</v>
      </c>
      <c r="D13" s="8" t="s">
        <v>9</v>
      </c>
      <c r="E13" s="6">
        <v>950</v>
      </c>
      <c r="F13" s="6"/>
      <c r="G13" s="6">
        <f t="shared" si="0"/>
        <v>950</v>
      </c>
      <c r="H13" s="15"/>
    </row>
    <row r="14" spans="1:8" x14ac:dyDescent="0.3">
      <c r="A14" s="6">
        <v>273</v>
      </c>
      <c r="B14" s="7">
        <v>46038</v>
      </c>
      <c r="C14" s="8" t="s">
        <v>14</v>
      </c>
      <c r="D14" s="8" t="s">
        <v>9</v>
      </c>
      <c r="E14" s="6">
        <v>1620</v>
      </c>
      <c r="F14" s="6"/>
      <c r="G14" s="6">
        <f t="shared" si="0"/>
        <v>1620</v>
      </c>
      <c r="H14" s="15"/>
    </row>
    <row r="15" spans="1:8" x14ac:dyDescent="0.3">
      <c r="A15" s="6">
        <v>286</v>
      </c>
      <c r="B15" s="7">
        <v>46067</v>
      </c>
      <c r="C15" s="8" t="s">
        <v>14</v>
      </c>
      <c r="D15" s="8" t="s">
        <v>9</v>
      </c>
      <c r="E15" s="6">
        <v>1800</v>
      </c>
      <c r="F15" s="6"/>
      <c r="G15" s="6">
        <f t="shared" si="0"/>
        <v>1800</v>
      </c>
      <c r="H15" s="15"/>
    </row>
    <row r="16" spans="1:8" x14ac:dyDescent="0.3">
      <c r="A16" s="6">
        <v>294</v>
      </c>
      <c r="B16" s="7">
        <v>46087</v>
      </c>
      <c r="C16" s="8" t="s">
        <v>14</v>
      </c>
      <c r="D16" s="8" t="s">
        <v>9</v>
      </c>
      <c r="E16" s="6">
        <v>3800</v>
      </c>
      <c r="F16" s="6"/>
      <c r="G16" s="6">
        <f t="shared" si="0"/>
        <v>3800</v>
      </c>
      <c r="H16" s="15"/>
    </row>
    <row r="17" spans="1:14" x14ac:dyDescent="0.3">
      <c r="A17" s="6">
        <v>207</v>
      </c>
      <c r="B17" s="7">
        <v>45927</v>
      </c>
      <c r="C17" s="8" t="s">
        <v>15</v>
      </c>
      <c r="D17" s="8" t="s">
        <v>9</v>
      </c>
      <c r="E17" s="6">
        <v>7360</v>
      </c>
      <c r="F17" s="6">
        <f>320+2000+2000</f>
        <v>4320</v>
      </c>
      <c r="G17" s="6">
        <f t="shared" si="0"/>
        <v>3040</v>
      </c>
      <c r="H17" s="16"/>
    </row>
    <row r="18" spans="1:14" x14ac:dyDescent="0.3">
      <c r="A18" s="6">
        <v>210</v>
      </c>
      <c r="B18" s="7">
        <v>45930</v>
      </c>
      <c r="C18" s="8" t="s">
        <v>15</v>
      </c>
      <c r="D18" s="8" t="s">
        <v>9</v>
      </c>
      <c r="E18" s="6">
        <v>1840</v>
      </c>
      <c r="F18" s="6">
        <v>1000</v>
      </c>
      <c r="G18" s="6">
        <f t="shared" si="0"/>
        <v>840</v>
      </c>
      <c r="H18" s="16"/>
    </row>
    <row r="19" spans="1:14" x14ac:dyDescent="0.3">
      <c r="A19" s="6">
        <v>258</v>
      </c>
      <c r="B19" s="7">
        <v>45999</v>
      </c>
      <c r="C19" s="8" t="s">
        <v>15</v>
      </c>
      <c r="D19" s="8" t="s">
        <v>9</v>
      </c>
      <c r="E19" s="6">
        <v>920</v>
      </c>
      <c r="F19" s="6">
        <v>0</v>
      </c>
      <c r="G19" s="6">
        <f t="shared" si="0"/>
        <v>920</v>
      </c>
      <c r="H19" s="17" t="s">
        <v>16</v>
      </c>
    </row>
    <row r="20" spans="1:14" x14ac:dyDescent="0.3">
      <c r="A20" s="6">
        <v>257</v>
      </c>
      <c r="B20" s="7">
        <v>45999</v>
      </c>
      <c r="C20" s="8" t="s">
        <v>17</v>
      </c>
      <c r="D20" s="8" t="s">
        <v>9</v>
      </c>
      <c r="E20" s="6">
        <v>7200</v>
      </c>
      <c r="F20" s="6">
        <f>3000+2000</f>
        <v>5000</v>
      </c>
      <c r="G20" s="6">
        <f t="shared" si="0"/>
        <v>2200</v>
      </c>
      <c r="H20" s="9">
        <v>9437163463</v>
      </c>
    </row>
    <row r="21" spans="1:14" x14ac:dyDescent="0.3">
      <c r="A21" s="6">
        <v>141</v>
      </c>
      <c r="B21" s="7">
        <v>45834</v>
      </c>
      <c r="C21" s="8" t="s">
        <v>18</v>
      </c>
      <c r="D21" s="8" t="s">
        <v>13</v>
      </c>
      <c r="E21" s="6">
        <v>4950</v>
      </c>
      <c r="F21" s="6">
        <f>2000+2000+950</f>
        <v>4950</v>
      </c>
      <c r="G21" s="6">
        <f t="shared" si="0"/>
        <v>0</v>
      </c>
      <c r="H21" s="18"/>
      <c r="I21" s="5">
        <v>8550</v>
      </c>
      <c r="J21" s="5">
        <v>3600</v>
      </c>
      <c r="K21" s="19">
        <v>45857</v>
      </c>
      <c r="L21" s="5">
        <f>+I21-J21</f>
        <v>4950</v>
      </c>
    </row>
    <row r="22" spans="1:14" x14ac:dyDescent="0.3">
      <c r="A22" s="6">
        <v>153</v>
      </c>
      <c r="B22" s="7">
        <v>45861</v>
      </c>
      <c r="C22" s="8" t="s">
        <v>18</v>
      </c>
      <c r="D22" s="8" t="s">
        <v>13</v>
      </c>
      <c r="E22" s="6">
        <v>1740</v>
      </c>
      <c r="F22" s="6">
        <f>1150</f>
        <v>1150</v>
      </c>
      <c r="G22" s="6">
        <f t="shared" si="0"/>
        <v>590</v>
      </c>
      <c r="H22" s="18"/>
      <c r="I22" s="5">
        <v>1740</v>
      </c>
      <c r="J22" s="5">
        <v>2000</v>
      </c>
      <c r="K22" s="19">
        <v>45864</v>
      </c>
      <c r="L22" s="5">
        <f>+L21+I22</f>
        <v>6690</v>
      </c>
      <c r="M22" s="5">
        <f>+L22-J22</f>
        <v>4690</v>
      </c>
    </row>
    <row r="23" spans="1:14" x14ac:dyDescent="0.3">
      <c r="A23" s="6">
        <v>187</v>
      </c>
      <c r="B23" s="7">
        <v>45904</v>
      </c>
      <c r="C23" s="8" t="s">
        <v>18</v>
      </c>
      <c r="D23" s="8" t="s">
        <v>13</v>
      </c>
      <c r="E23" s="6">
        <v>7600</v>
      </c>
      <c r="F23" s="6">
        <f>2000+3000+1000+1000</f>
        <v>7000</v>
      </c>
      <c r="G23" s="6">
        <f t="shared" si="0"/>
        <v>600</v>
      </c>
      <c r="H23" s="20" t="s">
        <v>19</v>
      </c>
      <c r="I23" s="5">
        <v>7600</v>
      </c>
      <c r="J23" s="5">
        <v>2000</v>
      </c>
      <c r="K23" s="19">
        <v>45898</v>
      </c>
      <c r="L23" s="5">
        <f>+M22+I23</f>
        <v>12290</v>
      </c>
      <c r="M23" s="5">
        <v>10290</v>
      </c>
    </row>
    <row r="24" spans="1:14" x14ac:dyDescent="0.3">
      <c r="A24" s="6">
        <v>209</v>
      </c>
      <c r="B24" s="7">
        <v>45930</v>
      </c>
      <c r="C24" s="8" t="s">
        <v>18</v>
      </c>
      <c r="D24" s="8" t="s">
        <v>13</v>
      </c>
      <c r="E24" s="6">
        <v>7360</v>
      </c>
      <c r="F24" s="6">
        <f>2000+2000+2000+1360</f>
        <v>7360</v>
      </c>
      <c r="G24" s="6">
        <f t="shared" si="0"/>
        <v>0</v>
      </c>
      <c r="H24" s="20"/>
      <c r="I24" s="5">
        <v>7360</v>
      </c>
      <c r="J24" s="5">
        <v>2000</v>
      </c>
      <c r="K24" s="19">
        <v>45925</v>
      </c>
      <c r="M24" s="5">
        <v>8290</v>
      </c>
      <c r="N24" s="19">
        <v>45925</v>
      </c>
    </row>
    <row r="25" spans="1:14" x14ac:dyDescent="0.3">
      <c r="A25" s="6">
        <v>212</v>
      </c>
      <c r="B25" s="7">
        <v>45934</v>
      </c>
      <c r="C25" s="8" t="s">
        <v>18</v>
      </c>
      <c r="D25" s="8" t="s">
        <v>13</v>
      </c>
      <c r="E25" s="6">
        <v>920</v>
      </c>
      <c r="F25" s="6"/>
      <c r="G25" s="6">
        <f t="shared" si="0"/>
        <v>920</v>
      </c>
      <c r="H25" s="20">
        <v>6570</v>
      </c>
      <c r="I25" s="5">
        <v>920</v>
      </c>
      <c r="J25" s="5">
        <v>2000</v>
      </c>
      <c r="K25" s="19">
        <v>45929</v>
      </c>
      <c r="M25" s="5">
        <v>6290</v>
      </c>
      <c r="N25" s="19">
        <v>45929</v>
      </c>
    </row>
    <row r="26" spans="1:14" x14ac:dyDescent="0.3">
      <c r="A26" s="6">
        <v>234</v>
      </c>
      <c r="B26" s="7">
        <v>45960</v>
      </c>
      <c r="C26" s="8" t="s">
        <v>18</v>
      </c>
      <c r="D26" s="8" t="s">
        <v>13</v>
      </c>
      <c r="E26" s="6">
        <v>1840</v>
      </c>
      <c r="F26" s="6">
        <v>1000</v>
      </c>
      <c r="G26" s="6">
        <f t="shared" si="0"/>
        <v>840</v>
      </c>
      <c r="H26" s="20"/>
      <c r="I26" s="5">
        <v>1840</v>
      </c>
      <c r="J26" s="5">
        <v>2000</v>
      </c>
      <c r="K26" s="19">
        <v>45934</v>
      </c>
      <c r="L26" s="5">
        <f>+M25+I24</f>
        <v>13650</v>
      </c>
      <c r="M26" s="5">
        <v>11650</v>
      </c>
      <c r="N26" s="19">
        <v>45930</v>
      </c>
    </row>
    <row r="27" spans="1:14" x14ac:dyDescent="0.3">
      <c r="A27" s="6">
        <v>241</v>
      </c>
      <c r="B27" s="7">
        <v>45975</v>
      </c>
      <c r="C27" s="8" t="s">
        <v>18</v>
      </c>
      <c r="D27" s="8" t="s">
        <v>13</v>
      </c>
      <c r="E27" s="6">
        <v>3000</v>
      </c>
      <c r="F27" s="6">
        <v>3000</v>
      </c>
      <c r="G27" s="6">
        <f t="shared" si="0"/>
        <v>0</v>
      </c>
      <c r="H27" s="20"/>
      <c r="I27" s="5">
        <v>3000</v>
      </c>
      <c r="J27" s="5">
        <v>3000</v>
      </c>
      <c r="K27" s="19">
        <v>45943</v>
      </c>
      <c r="M27" s="5">
        <f>+M26+920</f>
        <v>12570</v>
      </c>
      <c r="N27" s="19">
        <v>45934</v>
      </c>
    </row>
    <row r="28" spans="1:14" x14ac:dyDescent="0.3">
      <c r="A28" s="6">
        <v>255</v>
      </c>
      <c r="B28" s="7">
        <v>45999</v>
      </c>
      <c r="C28" s="8" t="s">
        <v>18</v>
      </c>
      <c r="D28" s="8" t="s">
        <v>13</v>
      </c>
      <c r="E28" s="6">
        <v>1920</v>
      </c>
      <c r="F28" s="6">
        <v>1040</v>
      </c>
      <c r="G28" s="6">
        <f t="shared" si="0"/>
        <v>880</v>
      </c>
      <c r="H28" s="20"/>
      <c r="I28" s="5">
        <v>1920</v>
      </c>
      <c r="J28" s="5">
        <v>1000</v>
      </c>
      <c r="K28" s="19">
        <v>45946</v>
      </c>
      <c r="M28" s="5">
        <f>+M27-J27</f>
        <v>9570</v>
      </c>
    </row>
    <row r="29" spans="1:14" x14ac:dyDescent="0.3">
      <c r="A29" s="6">
        <v>265</v>
      </c>
      <c r="B29" s="7">
        <v>45662</v>
      </c>
      <c r="C29" s="8" t="s">
        <v>18</v>
      </c>
      <c r="D29" s="8" t="s">
        <v>13</v>
      </c>
      <c r="E29" s="6">
        <v>2520</v>
      </c>
      <c r="F29" s="6"/>
      <c r="G29" s="6">
        <f t="shared" si="0"/>
        <v>2520</v>
      </c>
      <c r="H29" s="20"/>
      <c r="J29" s="5">
        <v>2000</v>
      </c>
      <c r="K29" s="19">
        <v>45953</v>
      </c>
      <c r="M29" s="5">
        <v>8570</v>
      </c>
    </row>
    <row r="30" spans="1:14" x14ac:dyDescent="0.3">
      <c r="A30" s="6">
        <v>271</v>
      </c>
      <c r="B30" s="7">
        <v>45663</v>
      </c>
      <c r="C30" s="8" t="s">
        <v>18</v>
      </c>
      <c r="D30" s="8" t="s">
        <v>13</v>
      </c>
      <c r="E30" s="6">
        <v>3200</v>
      </c>
      <c r="F30" s="6">
        <v>3000</v>
      </c>
      <c r="G30" s="6">
        <f t="shared" si="0"/>
        <v>200</v>
      </c>
      <c r="H30" s="20"/>
      <c r="J30" s="5">
        <v>2000</v>
      </c>
      <c r="K30" s="19">
        <v>45960</v>
      </c>
      <c r="M30" s="5">
        <v>6570</v>
      </c>
    </row>
    <row r="31" spans="1:14" x14ac:dyDescent="0.3">
      <c r="A31" s="6"/>
      <c r="B31" s="7">
        <v>45663</v>
      </c>
      <c r="C31" s="8" t="s">
        <v>18</v>
      </c>
      <c r="D31" s="8" t="s">
        <v>13</v>
      </c>
      <c r="E31" s="6">
        <v>4800</v>
      </c>
      <c r="F31" s="6">
        <v>3000</v>
      </c>
      <c r="G31" s="6">
        <f t="shared" si="0"/>
        <v>1800</v>
      </c>
      <c r="H31" s="20"/>
      <c r="J31" s="5">
        <v>2000</v>
      </c>
      <c r="K31" s="19">
        <v>45960</v>
      </c>
      <c r="M31" s="5">
        <v>6570</v>
      </c>
    </row>
    <row r="32" spans="1:14" x14ac:dyDescent="0.3">
      <c r="A32" s="6">
        <v>277</v>
      </c>
      <c r="B32" s="7">
        <v>46048</v>
      </c>
      <c r="C32" s="8" t="s">
        <v>18</v>
      </c>
      <c r="D32" s="8" t="s">
        <v>13</v>
      </c>
      <c r="E32" s="6">
        <v>2620</v>
      </c>
      <c r="F32" s="6"/>
      <c r="G32" s="6">
        <f t="shared" si="0"/>
        <v>2620</v>
      </c>
      <c r="H32" s="20"/>
      <c r="J32" s="5">
        <v>2000</v>
      </c>
      <c r="K32" s="19">
        <v>45960</v>
      </c>
      <c r="M32" s="5">
        <v>6570</v>
      </c>
    </row>
    <row r="33" spans="1:15" x14ac:dyDescent="0.3">
      <c r="A33" s="6">
        <v>124</v>
      </c>
      <c r="B33" s="7">
        <v>45776</v>
      </c>
      <c r="C33" s="8" t="s">
        <v>20</v>
      </c>
      <c r="D33" s="8" t="s">
        <v>13</v>
      </c>
      <c r="E33" s="6">
        <v>1450</v>
      </c>
      <c r="F33" s="12">
        <f>450+1000</f>
        <v>1450</v>
      </c>
      <c r="G33" s="6">
        <f t="shared" si="0"/>
        <v>0</v>
      </c>
      <c r="H33" s="21"/>
      <c r="I33" s="5">
        <v>2520</v>
      </c>
      <c r="J33" s="5">
        <v>2000</v>
      </c>
      <c r="K33" s="19">
        <v>45968</v>
      </c>
      <c r="M33" s="5">
        <f>+M30+I26</f>
        <v>8410</v>
      </c>
    </row>
    <row r="34" spans="1:15" x14ac:dyDescent="0.3">
      <c r="A34" s="6">
        <v>145</v>
      </c>
      <c r="B34" s="7">
        <v>45834</v>
      </c>
      <c r="C34" s="8" t="s">
        <v>20</v>
      </c>
      <c r="D34" s="8" t="s">
        <v>13</v>
      </c>
      <c r="E34" s="6">
        <v>5040</v>
      </c>
      <c r="F34" s="12">
        <f>3200+1000+550</f>
        <v>4750</v>
      </c>
      <c r="G34" s="6">
        <f t="shared" si="0"/>
        <v>290</v>
      </c>
      <c r="H34" s="14"/>
      <c r="I34" s="5">
        <v>3200</v>
      </c>
      <c r="J34" s="5">
        <v>4000</v>
      </c>
      <c r="K34" s="19">
        <v>46007</v>
      </c>
      <c r="M34" s="5">
        <v>6410</v>
      </c>
    </row>
    <row r="35" spans="1:15" x14ac:dyDescent="0.3">
      <c r="A35" s="6">
        <v>175</v>
      </c>
      <c r="B35" s="7">
        <v>45887</v>
      </c>
      <c r="C35" s="8" t="s">
        <v>20</v>
      </c>
      <c r="D35" s="8" t="s">
        <v>13</v>
      </c>
      <c r="E35" s="6">
        <v>1824</v>
      </c>
      <c r="F35" s="12">
        <v>1000</v>
      </c>
      <c r="G35" s="6">
        <f t="shared" si="0"/>
        <v>824</v>
      </c>
      <c r="H35" s="22"/>
      <c r="I35" s="5">
        <v>4800</v>
      </c>
      <c r="J35" s="5">
        <v>2000</v>
      </c>
      <c r="K35" s="19">
        <v>46016</v>
      </c>
      <c r="M35" s="5">
        <v>4410</v>
      </c>
    </row>
    <row r="36" spans="1:15" x14ac:dyDescent="0.3">
      <c r="A36" s="6">
        <v>222</v>
      </c>
      <c r="B36" s="7">
        <v>45940</v>
      </c>
      <c r="C36" s="8" t="s">
        <v>20</v>
      </c>
      <c r="D36" s="8" t="s">
        <v>13</v>
      </c>
      <c r="E36" s="6">
        <v>3680</v>
      </c>
      <c r="F36" s="12">
        <f>1000+1000+1000</f>
        <v>3000</v>
      </c>
      <c r="G36" s="6">
        <f t="shared" si="0"/>
        <v>680</v>
      </c>
      <c r="H36" s="22"/>
      <c r="J36" s="5">
        <v>2400</v>
      </c>
      <c r="K36" s="19">
        <v>45663</v>
      </c>
      <c r="M36" s="5">
        <v>7410</v>
      </c>
    </row>
    <row r="37" spans="1:15" x14ac:dyDescent="0.3">
      <c r="A37" s="6">
        <v>256</v>
      </c>
      <c r="B37" s="7">
        <v>45999</v>
      </c>
      <c r="C37" s="8" t="s">
        <v>20</v>
      </c>
      <c r="D37" s="8" t="s">
        <v>13</v>
      </c>
      <c r="E37" s="6">
        <v>3000</v>
      </c>
      <c r="F37" s="12">
        <f>1000+1000+1000</f>
        <v>3000</v>
      </c>
      <c r="G37" s="6">
        <f t="shared" si="0"/>
        <v>0</v>
      </c>
      <c r="H37" s="22"/>
      <c r="J37" s="5">
        <v>2000</v>
      </c>
      <c r="K37" s="19">
        <v>45666</v>
      </c>
      <c r="M37" s="5">
        <f>+M36+1920</f>
        <v>9330</v>
      </c>
    </row>
    <row r="38" spans="1:15" x14ac:dyDescent="0.3">
      <c r="A38" s="6">
        <v>292</v>
      </c>
      <c r="B38" s="7">
        <v>46082</v>
      </c>
      <c r="C38" s="8" t="s">
        <v>20</v>
      </c>
      <c r="D38" s="8" t="s">
        <v>13</v>
      </c>
      <c r="E38" s="6">
        <v>6440</v>
      </c>
      <c r="F38" s="12"/>
      <c r="G38" s="6">
        <f t="shared" si="0"/>
        <v>6440</v>
      </c>
      <c r="H38" s="22"/>
      <c r="J38" s="5">
        <v>2000</v>
      </c>
      <c r="K38" s="19">
        <v>45666</v>
      </c>
      <c r="M38" s="5">
        <f>+M37+1920</f>
        <v>11250</v>
      </c>
    </row>
    <row r="39" spans="1:15" x14ac:dyDescent="0.3">
      <c r="A39" s="6">
        <v>290</v>
      </c>
      <c r="B39" s="7">
        <v>46076</v>
      </c>
      <c r="C39" s="8" t="s">
        <v>21</v>
      </c>
      <c r="D39" s="8" t="s">
        <v>13</v>
      </c>
      <c r="E39" s="6">
        <v>780</v>
      </c>
      <c r="F39" s="12">
        <v>780</v>
      </c>
      <c r="G39" s="6">
        <f t="shared" si="0"/>
        <v>0</v>
      </c>
      <c r="H39" s="22"/>
      <c r="J39" s="5">
        <v>2000</v>
      </c>
      <c r="K39" s="19">
        <v>45666</v>
      </c>
      <c r="M39" s="5">
        <f>+M37+1920</f>
        <v>11250</v>
      </c>
    </row>
    <row r="40" spans="1:15" x14ac:dyDescent="0.3">
      <c r="A40" s="6">
        <v>10</v>
      </c>
      <c r="B40" s="7">
        <v>45771</v>
      </c>
      <c r="C40" s="8" t="s">
        <v>22</v>
      </c>
      <c r="D40" s="8" t="s">
        <v>13</v>
      </c>
      <c r="E40" s="6">
        <v>2520</v>
      </c>
      <c r="F40" s="12">
        <v>1682</v>
      </c>
      <c r="G40" s="6">
        <f t="shared" si="0"/>
        <v>838</v>
      </c>
      <c r="H40" s="16"/>
      <c r="M40" s="5" t="e">
        <f>+O40-J36</f>
        <v>#REF!</v>
      </c>
      <c r="O40" s="5" t="e">
        <f>+I35+#REF!</f>
        <v>#REF!</v>
      </c>
    </row>
    <row r="41" spans="1:15" x14ac:dyDescent="0.3">
      <c r="A41" s="6">
        <v>72</v>
      </c>
      <c r="B41" s="7">
        <v>45923</v>
      </c>
      <c r="C41" s="8" t="s">
        <v>22</v>
      </c>
      <c r="D41" s="8" t="s">
        <v>13</v>
      </c>
      <c r="E41" s="6">
        <v>32508</v>
      </c>
      <c r="F41" s="12">
        <v>25000</v>
      </c>
      <c r="G41" s="6">
        <f t="shared" si="0"/>
        <v>7508</v>
      </c>
      <c r="H41" s="22"/>
    </row>
    <row r="42" spans="1:15" x14ac:dyDescent="0.3">
      <c r="A42" s="6">
        <v>86</v>
      </c>
      <c r="B42" s="7">
        <v>45939</v>
      </c>
      <c r="C42" s="8" t="s">
        <v>22</v>
      </c>
      <c r="D42" s="8" t="s">
        <v>13</v>
      </c>
      <c r="E42" s="6">
        <v>44111</v>
      </c>
      <c r="F42" s="12">
        <v>25000</v>
      </c>
      <c r="G42" s="6">
        <f t="shared" si="0"/>
        <v>19111</v>
      </c>
      <c r="H42" s="22"/>
    </row>
    <row r="43" spans="1:15" x14ac:dyDescent="0.3">
      <c r="A43" s="6">
        <v>106</v>
      </c>
      <c r="B43" s="7">
        <v>45953</v>
      </c>
      <c r="C43" s="8" t="s">
        <v>22</v>
      </c>
      <c r="D43" s="8" t="s">
        <v>13</v>
      </c>
      <c r="E43" s="6">
        <v>3276</v>
      </c>
      <c r="F43" s="12"/>
      <c r="G43" s="6">
        <f t="shared" si="0"/>
        <v>3276</v>
      </c>
      <c r="H43" s="22"/>
    </row>
    <row r="44" spans="1:15" x14ac:dyDescent="0.3">
      <c r="A44" s="6">
        <v>128</v>
      </c>
      <c r="B44" s="7">
        <v>45971</v>
      </c>
      <c r="C44" s="8" t="s">
        <v>22</v>
      </c>
      <c r="D44" s="8" t="s">
        <v>13</v>
      </c>
      <c r="E44" s="6">
        <v>47250</v>
      </c>
      <c r="F44" s="12">
        <v>30000</v>
      </c>
      <c r="G44" s="6">
        <f t="shared" si="0"/>
        <v>17250</v>
      </c>
      <c r="H44" s="22"/>
    </row>
    <row r="45" spans="1:15" x14ac:dyDescent="0.3">
      <c r="A45" s="6">
        <v>171</v>
      </c>
      <c r="B45" s="7">
        <v>46013</v>
      </c>
      <c r="C45" s="10" t="s">
        <v>23</v>
      </c>
      <c r="D45" s="8" t="s">
        <v>13</v>
      </c>
      <c r="E45" s="6">
        <v>32028</v>
      </c>
      <c r="F45" s="12">
        <v>10000</v>
      </c>
      <c r="G45" s="6">
        <f t="shared" si="0"/>
        <v>22028</v>
      </c>
      <c r="H45" s="22"/>
    </row>
    <row r="46" spans="1:15" x14ac:dyDescent="0.3">
      <c r="A46" s="6">
        <v>274</v>
      </c>
      <c r="B46" s="7">
        <v>46048</v>
      </c>
      <c r="C46" s="10" t="s">
        <v>24</v>
      </c>
      <c r="D46" s="8" t="s">
        <v>13</v>
      </c>
      <c r="E46" s="6">
        <v>2000</v>
      </c>
      <c r="F46" s="12"/>
      <c r="G46" s="6">
        <f t="shared" si="0"/>
        <v>2000</v>
      </c>
      <c r="H46" s="22"/>
    </row>
    <row r="47" spans="1:15" x14ac:dyDescent="0.3">
      <c r="A47" s="6">
        <v>184</v>
      </c>
      <c r="B47" s="7">
        <v>45899</v>
      </c>
      <c r="C47" s="8" t="s">
        <v>25</v>
      </c>
      <c r="D47" s="8" t="s">
        <v>9</v>
      </c>
      <c r="E47" s="6">
        <v>3600</v>
      </c>
      <c r="F47" s="12">
        <f>1390+2000</f>
        <v>3390</v>
      </c>
      <c r="G47" s="6">
        <f t="shared" si="0"/>
        <v>210</v>
      </c>
      <c r="H47" s="23"/>
    </row>
    <row r="48" spans="1:15" x14ac:dyDescent="0.3">
      <c r="A48" s="6">
        <v>205</v>
      </c>
      <c r="B48" s="7">
        <v>45927</v>
      </c>
      <c r="C48" s="8" t="s">
        <v>25</v>
      </c>
      <c r="D48" s="8" t="s">
        <v>9</v>
      </c>
      <c r="E48" s="6">
        <v>6440</v>
      </c>
      <c r="F48" s="12">
        <f>2000+2000+2000</f>
        <v>6000</v>
      </c>
      <c r="G48" s="6">
        <f t="shared" si="0"/>
        <v>440</v>
      </c>
      <c r="H48" s="23"/>
    </row>
    <row r="49" spans="1:8" x14ac:dyDescent="0.3">
      <c r="A49" s="6">
        <v>244</v>
      </c>
      <c r="B49" s="7">
        <v>45975</v>
      </c>
      <c r="C49" s="8" t="s">
        <v>25</v>
      </c>
      <c r="D49" s="8" t="s">
        <v>9</v>
      </c>
      <c r="E49" s="6">
        <v>2720</v>
      </c>
      <c r="F49" s="12">
        <v>2000</v>
      </c>
      <c r="G49" s="6">
        <f t="shared" si="0"/>
        <v>720</v>
      </c>
      <c r="H49" s="23"/>
    </row>
    <row r="50" spans="1:8" x14ac:dyDescent="0.3">
      <c r="A50" s="6">
        <v>259</v>
      </c>
      <c r="B50" s="7">
        <v>45995</v>
      </c>
      <c r="C50" s="8" t="s">
        <v>25</v>
      </c>
      <c r="D50" s="8" t="s">
        <v>9</v>
      </c>
      <c r="E50" s="6">
        <v>3680</v>
      </c>
      <c r="F50" s="12">
        <v>2000</v>
      </c>
      <c r="G50" s="6">
        <f t="shared" si="0"/>
        <v>1680</v>
      </c>
      <c r="H50" s="23"/>
    </row>
    <row r="51" spans="1:8" x14ac:dyDescent="0.3">
      <c r="A51" s="6">
        <v>283</v>
      </c>
      <c r="B51" s="7">
        <v>46060</v>
      </c>
      <c r="C51" s="8" t="s">
        <v>25</v>
      </c>
      <c r="D51" s="8" t="s">
        <v>9</v>
      </c>
      <c r="E51" s="6">
        <v>1600</v>
      </c>
      <c r="F51" s="12">
        <v>1000</v>
      </c>
      <c r="G51" s="6">
        <f t="shared" si="0"/>
        <v>600</v>
      </c>
      <c r="H51" s="23"/>
    </row>
    <row r="52" spans="1:8" x14ac:dyDescent="0.3">
      <c r="A52" s="6">
        <v>284</v>
      </c>
      <c r="B52" s="7">
        <v>46060</v>
      </c>
      <c r="C52" s="8" t="s">
        <v>25</v>
      </c>
      <c r="D52" s="8" t="s">
        <v>9</v>
      </c>
      <c r="E52" s="6">
        <v>2760</v>
      </c>
      <c r="F52" s="12"/>
      <c r="G52" s="6">
        <f t="shared" si="0"/>
        <v>2760</v>
      </c>
      <c r="H52" s="23"/>
    </row>
    <row r="53" spans="1:8" x14ac:dyDescent="0.3">
      <c r="A53" s="6">
        <v>198</v>
      </c>
      <c r="B53" s="7">
        <v>45922</v>
      </c>
      <c r="C53" s="8" t="s">
        <v>26</v>
      </c>
      <c r="D53" s="8" t="s">
        <v>9</v>
      </c>
      <c r="E53" s="6">
        <v>1320</v>
      </c>
      <c r="F53" s="12">
        <v>950</v>
      </c>
      <c r="G53" s="6">
        <f t="shared" si="0"/>
        <v>370</v>
      </c>
      <c r="H53" s="24"/>
    </row>
    <row r="54" spans="1:8" x14ac:dyDescent="0.3">
      <c r="A54" s="6">
        <v>206</v>
      </c>
      <c r="B54" s="7">
        <v>45927</v>
      </c>
      <c r="C54" s="8" t="s">
        <v>26</v>
      </c>
      <c r="D54" s="8" t="s">
        <v>9</v>
      </c>
      <c r="E54" s="6">
        <v>6440</v>
      </c>
      <c r="F54" s="12">
        <v>5100</v>
      </c>
      <c r="G54" s="6">
        <f t="shared" si="0"/>
        <v>1340</v>
      </c>
      <c r="H54" s="24"/>
    </row>
    <row r="55" spans="1:8" x14ac:dyDescent="0.3">
      <c r="A55" s="6">
        <v>245</v>
      </c>
      <c r="B55" s="7">
        <v>45975</v>
      </c>
      <c r="C55" s="8" t="s">
        <v>26</v>
      </c>
      <c r="D55" s="8" t="s">
        <v>9</v>
      </c>
      <c r="E55" s="6">
        <v>2200</v>
      </c>
      <c r="F55" s="12">
        <f>1000+1000+200</f>
        <v>2200</v>
      </c>
      <c r="G55" s="6">
        <f t="shared" si="0"/>
        <v>0</v>
      </c>
      <c r="H55" s="24"/>
    </row>
    <row r="56" spans="1:8" x14ac:dyDescent="0.3">
      <c r="A56" s="6">
        <v>249</v>
      </c>
      <c r="B56" s="7">
        <v>45985</v>
      </c>
      <c r="C56" s="8" t="s">
        <v>26</v>
      </c>
      <c r="D56" s="8" t="s">
        <v>9</v>
      </c>
      <c r="E56" s="6">
        <v>1100</v>
      </c>
      <c r="F56" s="12">
        <v>1000</v>
      </c>
      <c r="G56" s="6">
        <f t="shared" si="0"/>
        <v>100</v>
      </c>
      <c r="H56" s="24"/>
    </row>
    <row r="57" spans="1:8" x14ac:dyDescent="0.3">
      <c r="A57" s="6">
        <v>261</v>
      </c>
      <c r="B57" s="7">
        <v>46007</v>
      </c>
      <c r="C57" s="8" t="s">
        <v>26</v>
      </c>
      <c r="D57" s="8" t="s">
        <v>9</v>
      </c>
      <c r="E57" s="6">
        <v>6080</v>
      </c>
      <c r="F57" s="12">
        <f>2000+2000+2000</f>
        <v>6000</v>
      </c>
      <c r="G57" s="6">
        <f t="shared" si="0"/>
        <v>80</v>
      </c>
      <c r="H57" s="24"/>
    </row>
    <row r="58" spans="1:8" x14ac:dyDescent="0.3">
      <c r="A58" s="6">
        <v>293</v>
      </c>
      <c r="B58" s="7">
        <v>46082</v>
      </c>
      <c r="C58" s="8" t="s">
        <v>26</v>
      </c>
      <c r="D58" s="8" t="s">
        <v>9</v>
      </c>
      <c r="E58" s="6">
        <v>3800</v>
      </c>
      <c r="F58" s="12"/>
      <c r="G58" s="6">
        <f t="shared" si="0"/>
        <v>3800</v>
      </c>
      <c r="H58" s="24"/>
    </row>
    <row r="59" spans="1:8" x14ac:dyDescent="0.3">
      <c r="A59" s="6">
        <v>180</v>
      </c>
      <c r="B59" s="7">
        <v>45891</v>
      </c>
      <c r="C59" s="8" t="s">
        <v>27</v>
      </c>
      <c r="D59" s="8" t="s">
        <v>9</v>
      </c>
      <c r="E59" s="6">
        <v>3200</v>
      </c>
      <c r="F59" s="12"/>
      <c r="G59" s="6">
        <f t="shared" si="0"/>
        <v>3200</v>
      </c>
      <c r="H59" s="24"/>
    </row>
    <row r="60" spans="1:8" x14ac:dyDescent="0.3">
      <c r="A60" s="6">
        <v>267</v>
      </c>
      <c r="B60" s="7">
        <v>45662</v>
      </c>
      <c r="C60" s="8" t="s">
        <v>28</v>
      </c>
      <c r="D60" s="8" t="s">
        <v>9</v>
      </c>
      <c r="E60" s="6">
        <v>4500</v>
      </c>
      <c r="F60" s="24"/>
      <c r="G60" s="6">
        <f t="shared" si="0"/>
        <v>4500</v>
      </c>
      <c r="H60" s="24"/>
    </row>
    <row r="61" spans="1:8" x14ac:dyDescent="0.3">
      <c r="A61" s="6">
        <v>272</v>
      </c>
      <c r="B61" s="7">
        <v>46038</v>
      </c>
      <c r="C61" s="8" t="s">
        <v>28</v>
      </c>
      <c r="D61" s="8" t="s">
        <v>9</v>
      </c>
      <c r="E61" s="6">
        <v>4250</v>
      </c>
      <c r="F61" s="24"/>
      <c r="G61" s="6">
        <f t="shared" si="0"/>
        <v>4250</v>
      </c>
      <c r="H61" s="24"/>
    </row>
    <row r="62" spans="1:8" x14ac:dyDescent="0.3">
      <c r="A62" s="6">
        <v>161</v>
      </c>
      <c r="B62" s="7">
        <v>45865</v>
      </c>
      <c r="C62" s="8" t="s">
        <v>29</v>
      </c>
      <c r="D62" s="8" t="s">
        <v>13</v>
      </c>
      <c r="E62" s="6">
        <v>1380</v>
      </c>
      <c r="F62" s="6">
        <v>1262</v>
      </c>
      <c r="G62" s="6">
        <f t="shared" si="0"/>
        <v>118</v>
      </c>
      <c r="H62" s="24"/>
    </row>
    <row r="63" spans="1:8" x14ac:dyDescent="0.3">
      <c r="A63" s="6">
        <v>167</v>
      </c>
      <c r="B63" s="7">
        <v>45876</v>
      </c>
      <c r="C63" s="8" t="s">
        <v>29</v>
      </c>
      <c r="D63" s="8" t="s">
        <v>13</v>
      </c>
      <c r="E63" s="6">
        <v>10184</v>
      </c>
      <c r="F63" s="6">
        <f>5000+4000</f>
        <v>9000</v>
      </c>
      <c r="G63" s="6">
        <f t="shared" si="0"/>
        <v>1184</v>
      </c>
      <c r="H63" s="24"/>
    </row>
    <row r="64" spans="1:8" x14ac:dyDescent="0.3">
      <c r="A64" s="6">
        <v>190</v>
      </c>
      <c r="B64" s="7">
        <v>45909</v>
      </c>
      <c r="C64" s="8" t="s">
        <v>29</v>
      </c>
      <c r="D64" s="8" t="s">
        <v>13</v>
      </c>
      <c r="E64" s="6">
        <v>3402</v>
      </c>
      <c r="F64" s="6"/>
      <c r="G64" s="6">
        <f t="shared" si="0"/>
        <v>3402</v>
      </c>
      <c r="H64" s="24"/>
    </row>
    <row r="65" spans="1:8" x14ac:dyDescent="0.3">
      <c r="A65" s="6">
        <v>199</v>
      </c>
      <c r="B65" s="7">
        <v>45923</v>
      </c>
      <c r="C65" s="8" t="s">
        <v>29</v>
      </c>
      <c r="D65" s="8" t="s">
        <v>13</v>
      </c>
      <c r="E65" s="6">
        <v>7664</v>
      </c>
      <c r="F65" s="6">
        <v>5000</v>
      </c>
      <c r="G65" s="6">
        <f t="shared" si="0"/>
        <v>2664</v>
      </c>
      <c r="H65" s="24"/>
    </row>
    <row r="66" spans="1:8" x14ac:dyDescent="0.3">
      <c r="A66" s="6">
        <v>236</v>
      </c>
      <c r="B66" s="7">
        <v>45972</v>
      </c>
      <c r="C66" s="8" t="s">
        <v>29</v>
      </c>
      <c r="D66" s="8" t="s">
        <v>13</v>
      </c>
      <c r="E66" s="6">
        <v>4800</v>
      </c>
      <c r="F66" s="6">
        <v>4000</v>
      </c>
      <c r="G66" s="6">
        <f t="shared" si="0"/>
        <v>800</v>
      </c>
      <c r="H66" s="24"/>
    </row>
    <row r="67" spans="1:8" x14ac:dyDescent="0.3">
      <c r="A67" s="6">
        <v>248</v>
      </c>
      <c r="B67" s="7">
        <v>45985</v>
      </c>
      <c r="C67" s="8" t="s">
        <v>29</v>
      </c>
      <c r="D67" s="8" t="s">
        <v>13</v>
      </c>
      <c r="E67" s="6">
        <v>5838</v>
      </c>
      <c r="F67" s="6"/>
      <c r="G67" s="6">
        <f t="shared" ref="G67:G85" si="1">+E67-F67</f>
        <v>5838</v>
      </c>
      <c r="H67" s="24"/>
    </row>
    <row r="68" spans="1:8" x14ac:dyDescent="0.3">
      <c r="A68" s="6">
        <v>226</v>
      </c>
      <c r="B68" s="7">
        <v>45947</v>
      </c>
      <c r="C68" s="8" t="s">
        <v>30</v>
      </c>
      <c r="D68" s="8" t="s">
        <v>13</v>
      </c>
      <c r="E68" s="6">
        <v>2450</v>
      </c>
      <c r="F68" s="6">
        <v>2000</v>
      </c>
      <c r="G68" s="6">
        <f t="shared" si="1"/>
        <v>450</v>
      </c>
      <c r="H68" s="24"/>
    </row>
    <row r="69" spans="1:8" x14ac:dyDescent="0.3">
      <c r="A69" s="6">
        <v>287</v>
      </c>
      <c r="B69" s="7">
        <v>46067</v>
      </c>
      <c r="C69" s="8" t="s">
        <v>30</v>
      </c>
      <c r="D69" s="8" t="s">
        <v>13</v>
      </c>
      <c r="E69" s="6">
        <v>1440</v>
      </c>
      <c r="F69" s="6"/>
      <c r="G69" s="6">
        <f t="shared" si="1"/>
        <v>1440</v>
      </c>
      <c r="H69" s="24"/>
    </row>
    <row r="70" spans="1:8" x14ac:dyDescent="0.3">
      <c r="A70" s="6">
        <v>262</v>
      </c>
      <c r="B70" s="7">
        <v>46008</v>
      </c>
      <c r="C70" s="10" t="s">
        <v>31</v>
      </c>
      <c r="D70" s="8" t="s">
        <v>13</v>
      </c>
      <c r="E70" s="6">
        <v>6240</v>
      </c>
      <c r="F70" s="6"/>
      <c r="G70" s="6">
        <f t="shared" si="1"/>
        <v>6240</v>
      </c>
      <c r="H70" s="11"/>
    </row>
    <row r="71" spans="1:8" x14ac:dyDescent="0.3">
      <c r="A71" s="6">
        <v>266</v>
      </c>
      <c r="B71" s="7">
        <v>45662</v>
      </c>
      <c r="C71" s="10" t="s">
        <v>31</v>
      </c>
      <c r="D71" s="8" t="s">
        <v>13</v>
      </c>
      <c r="E71" s="6">
        <v>2460</v>
      </c>
      <c r="F71" s="6"/>
      <c r="G71" s="6">
        <f t="shared" si="1"/>
        <v>2460</v>
      </c>
      <c r="H71" s="11"/>
    </row>
    <row r="72" spans="1:8" x14ac:dyDescent="0.3">
      <c r="A72" s="6">
        <v>276</v>
      </c>
      <c r="B72" s="7">
        <v>46049</v>
      </c>
      <c r="C72" s="10" t="s">
        <v>32</v>
      </c>
      <c r="D72" s="8" t="s">
        <v>13</v>
      </c>
      <c r="E72" s="6">
        <v>12180</v>
      </c>
      <c r="F72" s="6"/>
      <c r="G72" s="6">
        <f t="shared" si="1"/>
        <v>12180</v>
      </c>
      <c r="H72" s="11"/>
    </row>
    <row r="73" spans="1:8" s="30" customFormat="1" x14ac:dyDescent="0.3">
      <c r="A73" s="25">
        <v>201</v>
      </c>
      <c r="B73" s="26">
        <v>45925</v>
      </c>
      <c r="C73" s="27" t="s">
        <v>33</v>
      </c>
      <c r="D73" s="27" t="s">
        <v>34</v>
      </c>
      <c r="E73" s="28">
        <v>11790</v>
      </c>
      <c r="F73" s="28">
        <v>10000</v>
      </c>
      <c r="G73" s="28">
        <f t="shared" si="1"/>
        <v>1790</v>
      </c>
      <c r="H73" s="29"/>
    </row>
    <row r="74" spans="1:8" x14ac:dyDescent="0.3">
      <c r="A74" s="6">
        <v>278</v>
      </c>
      <c r="B74" s="7">
        <v>46047</v>
      </c>
      <c r="C74" s="10" t="s">
        <v>35</v>
      </c>
      <c r="D74" s="10" t="s">
        <v>34</v>
      </c>
      <c r="E74" s="6">
        <v>9680</v>
      </c>
      <c r="F74" s="6">
        <v>0</v>
      </c>
      <c r="G74" s="6">
        <f>+E74-F74</f>
        <v>9680</v>
      </c>
      <c r="H74" s="11"/>
    </row>
    <row r="75" spans="1:8" x14ac:dyDescent="0.3">
      <c r="A75" s="6">
        <v>290</v>
      </c>
      <c r="B75" s="7">
        <v>46080</v>
      </c>
      <c r="C75" s="10" t="s">
        <v>36</v>
      </c>
      <c r="D75" s="8" t="s">
        <v>13</v>
      </c>
      <c r="E75" s="6">
        <v>7360</v>
      </c>
      <c r="F75" s="6">
        <v>0</v>
      </c>
      <c r="G75" s="6">
        <f t="shared" ref="G75" si="2">+E75-F75</f>
        <v>7360</v>
      </c>
      <c r="H75" s="11"/>
    </row>
    <row r="76" spans="1:8" x14ac:dyDescent="0.3">
      <c r="A76" s="6">
        <v>149</v>
      </c>
      <c r="B76" s="7">
        <v>45561</v>
      </c>
      <c r="C76" s="8" t="s">
        <v>37</v>
      </c>
      <c r="D76" s="8" t="s">
        <v>38</v>
      </c>
      <c r="E76" s="6">
        <v>20414</v>
      </c>
      <c r="F76" s="6">
        <f>2000+4000+5000+5000+5000</f>
        <v>21000</v>
      </c>
      <c r="G76" s="6">
        <f>+E76-F76</f>
        <v>-586</v>
      </c>
      <c r="H76" s="11"/>
    </row>
    <row r="77" spans="1:8" x14ac:dyDescent="0.3">
      <c r="A77" s="6">
        <v>190</v>
      </c>
      <c r="B77" s="7">
        <v>45654</v>
      </c>
      <c r="C77" s="8" t="s">
        <v>37</v>
      </c>
      <c r="D77" s="8" t="s">
        <v>38</v>
      </c>
      <c r="E77" s="6">
        <v>16180</v>
      </c>
      <c r="F77" s="6">
        <f>3000+3000+3000+3000</f>
        <v>12000</v>
      </c>
      <c r="G77" s="6">
        <f>+E77-F77</f>
        <v>4180</v>
      </c>
      <c r="H77" s="11"/>
    </row>
    <row r="78" spans="1:8" x14ac:dyDescent="0.3">
      <c r="A78" s="6">
        <v>197</v>
      </c>
      <c r="B78" s="7">
        <v>45676</v>
      </c>
      <c r="C78" s="8" t="s">
        <v>37</v>
      </c>
      <c r="D78" s="8" t="s">
        <v>38</v>
      </c>
      <c r="E78" s="6">
        <v>14816</v>
      </c>
      <c r="F78" s="6"/>
      <c r="G78" s="6">
        <f>+E78-F78</f>
        <v>14816</v>
      </c>
      <c r="H78" s="11"/>
    </row>
    <row r="79" spans="1:8" x14ac:dyDescent="0.3">
      <c r="A79" s="6">
        <v>285</v>
      </c>
      <c r="B79" s="7">
        <v>46067</v>
      </c>
      <c r="C79" s="8" t="s">
        <v>39</v>
      </c>
      <c r="D79" s="8" t="s">
        <v>9</v>
      </c>
      <c r="E79" s="6">
        <v>12320</v>
      </c>
      <c r="F79" s="6"/>
      <c r="G79" s="6">
        <f t="shared" ref="G79" si="3">+E79-F79</f>
        <v>12320</v>
      </c>
      <c r="H79" s="11"/>
    </row>
    <row r="80" spans="1:8" x14ac:dyDescent="0.3">
      <c r="A80" s="6">
        <v>127</v>
      </c>
      <c r="B80" s="7">
        <v>45785</v>
      </c>
      <c r="C80" s="8" t="s">
        <v>40</v>
      </c>
      <c r="D80" s="8" t="s">
        <v>13</v>
      </c>
      <c r="E80" s="6">
        <v>2000</v>
      </c>
      <c r="F80" s="12">
        <v>710</v>
      </c>
      <c r="G80" s="6">
        <f>+E80-F80</f>
        <v>1290</v>
      </c>
      <c r="H80" s="24"/>
    </row>
    <row r="81" spans="1:8" x14ac:dyDescent="0.3">
      <c r="A81" s="6">
        <v>148</v>
      </c>
      <c r="B81" s="7">
        <v>45839</v>
      </c>
      <c r="C81" s="8" t="s">
        <v>40</v>
      </c>
      <c r="D81" s="8" t="s">
        <v>13</v>
      </c>
      <c r="E81" s="6">
        <v>2400</v>
      </c>
      <c r="F81" s="12">
        <v>2000</v>
      </c>
      <c r="G81" s="6">
        <f t="shared" ref="G81:G82" si="4">+E81-F81</f>
        <v>400</v>
      </c>
      <c r="H81" s="24"/>
    </row>
    <row r="82" spans="1:8" x14ac:dyDescent="0.3">
      <c r="A82" s="6">
        <v>157</v>
      </c>
      <c r="B82" s="7">
        <v>45862</v>
      </c>
      <c r="C82" s="8" t="s">
        <v>40</v>
      </c>
      <c r="D82" s="8" t="s">
        <v>13</v>
      </c>
      <c r="E82" s="6">
        <v>2260</v>
      </c>
      <c r="F82" s="24"/>
      <c r="G82" s="6">
        <f t="shared" si="4"/>
        <v>2260</v>
      </c>
      <c r="H82" s="24"/>
    </row>
    <row r="83" spans="1:8" x14ac:dyDescent="0.3">
      <c r="A83" s="6">
        <v>181</v>
      </c>
      <c r="B83" s="7">
        <v>45891</v>
      </c>
      <c r="C83" s="8" t="s">
        <v>40</v>
      </c>
      <c r="D83" s="8" t="s">
        <v>13</v>
      </c>
      <c r="E83" s="6">
        <v>1600</v>
      </c>
      <c r="F83" s="12">
        <v>0</v>
      </c>
      <c r="G83" s="6">
        <f>+E83-F83</f>
        <v>1600</v>
      </c>
      <c r="H83" s="22"/>
    </row>
    <row r="84" spans="1:8" x14ac:dyDescent="0.3">
      <c r="A84" s="6">
        <v>253</v>
      </c>
      <c r="B84" s="7">
        <v>45991</v>
      </c>
      <c r="C84" s="8" t="s">
        <v>40</v>
      </c>
      <c r="D84" s="8" t="s">
        <v>13</v>
      </c>
      <c r="E84" s="6">
        <v>1200</v>
      </c>
      <c r="F84" s="12">
        <v>0</v>
      </c>
      <c r="G84" s="6">
        <f>+E84-F84</f>
        <v>1200</v>
      </c>
      <c r="H84" s="22"/>
    </row>
    <row r="85" spans="1:8" x14ac:dyDescent="0.3">
      <c r="A85" s="6">
        <v>281</v>
      </c>
      <c r="B85" s="7">
        <v>46060</v>
      </c>
      <c r="C85" s="10" t="s">
        <v>41</v>
      </c>
      <c r="D85" s="8" t="s">
        <v>13</v>
      </c>
      <c r="E85" s="6">
        <v>6400</v>
      </c>
      <c r="F85" s="6"/>
      <c r="G85" s="6">
        <f>+E85-F85</f>
        <v>6400</v>
      </c>
      <c r="H85" s="11"/>
    </row>
    <row r="86" spans="1:8" x14ac:dyDescent="0.3">
      <c r="A86" s="6">
        <v>288</v>
      </c>
      <c r="B86" s="7">
        <v>46067</v>
      </c>
      <c r="C86" s="10" t="s">
        <v>41</v>
      </c>
      <c r="D86" s="8" t="s">
        <v>13</v>
      </c>
      <c r="E86" s="6">
        <v>1440</v>
      </c>
      <c r="F86" s="6"/>
      <c r="G86" s="6">
        <f>+E86-F86</f>
        <v>1440</v>
      </c>
      <c r="H86" s="11"/>
    </row>
    <row r="87" spans="1:8" x14ac:dyDescent="0.3">
      <c r="A87" s="6">
        <v>70</v>
      </c>
      <c r="B87" s="7">
        <v>45917</v>
      </c>
      <c r="C87" s="8" t="s">
        <v>42</v>
      </c>
      <c r="D87" s="8" t="s">
        <v>9</v>
      </c>
      <c r="E87" s="6">
        <v>8858</v>
      </c>
      <c r="F87" s="6"/>
      <c r="G87" s="6">
        <f t="shared" ref="G87:G88" si="5">+E87-F87</f>
        <v>8858</v>
      </c>
      <c r="H87" s="24"/>
    </row>
    <row r="88" spans="1:8" x14ac:dyDescent="0.3">
      <c r="A88" s="31"/>
      <c r="B88" s="7"/>
      <c r="C88" s="8"/>
      <c r="D88" s="8"/>
      <c r="E88" s="6"/>
      <c r="F88" s="24"/>
      <c r="G88" s="6">
        <f t="shared" si="5"/>
        <v>0</v>
      </c>
      <c r="H88" s="24"/>
    </row>
    <row r="89" spans="1:8" x14ac:dyDescent="0.3">
      <c r="E89" s="32">
        <f>SUM(E2:E88)</f>
        <v>555161</v>
      </c>
      <c r="F89" s="32">
        <f>SUM(F2:F88)</f>
        <v>276527</v>
      </c>
      <c r="G89" s="32">
        <f>SUM(G2:G88)</f>
        <v>278634</v>
      </c>
    </row>
    <row r="91" spans="1:8" x14ac:dyDescent="0.3">
      <c r="E91" s="33"/>
    </row>
  </sheetData>
  <mergeCells count="3">
    <mergeCell ref="H8:H9"/>
    <mergeCell ref="H21:H22"/>
    <mergeCell ref="H33:H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2026-05-12T06:31:39Z</dcterms:created>
  <dcterms:modified xsi:type="dcterms:W3CDTF">2026-05-12T06:32:22Z</dcterms:modified>
</cp:coreProperties>
</file>