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M SAI ENTERPRISES 31 MAR 2026\SALE INVOICE\25-26\25-26 -CREDIT NOTE\"/>
    </mc:Choice>
  </mc:AlternateContent>
  <bookViews>
    <workbookView xWindow="-120" yWindow="-120" windowWidth="20736" windowHeight="11160"/>
  </bookViews>
  <sheets>
    <sheet name="Invoice" sheetId="1" r:id="rId1"/>
    <sheet name="Sheet1" sheetId="4" r:id="rId2"/>
  </sheets>
  <definedNames>
    <definedName name="_xlnm._FilterDatabase" localSheetId="1" hidden="1">Sheet1!$E$4:$R$20</definedName>
    <definedName name="_xlnm.Print_Area" localSheetId="0">Invoice!$A$1:$P$37</definedName>
  </definedNames>
  <calcPr calcId="152511"/>
</workbook>
</file>

<file path=xl/calcChain.xml><?xml version="1.0" encoding="utf-8"?>
<calcChain xmlns="http://schemas.openxmlformats.org/spreadsheetml/2006/main">
  <c r="J17" i="4" l="1"/>
  <c r="K14" i="4" l="1"/>
  <c r="J13" i="4"/>
  <c r="J20" i="4" l="1"/>
  <c r="K19" i="4" l="1"/>
  <c r="L19" i="4" s="1"/>
  <c r="K18" i="4"/>
  <c r="L18" i="4" s="1"/>
  <c r="K17" i="4"/>
  <c r="L17" i="4" s="1"/>
  <c r="K16" i="4"/>
  <c r="L16" i="4" s="1"/>
  <c r="K15" i="4"/>
  <c r="L15" i="4" s="1"/>
  <c r="L14" i="4"/>
  <c r="K13" i="4"/>
  <c r="L13" i="4" s="1"/>
  <c r="K12" i="4"/>
  <c r="L12" i="4" s="1"/>
  <c r="K11" i="4"/>
  <c r="L11" i="4" s="1"/>
  <c r="K10" i="4"/>
  <c r="L10" i="4" s="1"/>
  <c r="K9" i="4"/>
  <c r="L9" i="4" s="1"/>
  <c r="R8" i="4"/>
  <c r="K8" i="4"/>
  <c r="L8" i="4" s="1"/>
  <c r="R7" i="4"/>
  <c r="K7" i="4"/>
  <c r="L7" i="4" s="1"/>
  <c r="R6" i="4"/>
  <c r="K6" i="4"/>
  <c r="L6" i="4" s="1"/>
  <c r="R5" i="4"/>
  <c r="K5" i="4"/>
  <c r="I20" i="4"/>
  <c r="K20" i="4" l="1"/>
  <c r="L5" i="4"/>
  <c r="R9" i="4"/>
  <c r="G22" i="1"/>
  <c r="I17" i="1" l="1"/>
  <c r="K17" i="1" s="1"/>
  <c r="O17" i="1" l="1"/>
  <c r="M17" i="1"/>
  <c r="P17" i="1" s="1"/>
  <c r="I22" i="1" l="1"/>
  <c r="P22" i="1" l="1"/>
</calcChain>
</file>

<file path=xl/sharedStrings.xml><?xml version="1.0" encoding="utf-8"?>
<sst xmlns="http://schemas.openxmlformats.org/spreadsheetml/2006/main" count="111" uniqueCount="67">
  <si>
    <t>To,</t>
  </si>
  <si>
    <t xml:space="preserve">M/s. </t>
  </si>
  <si>
    <t>Description</t>
  </si>
  <si>
    <t>Transportation</t>
  </si>
  <si>
    <t>Authorized Signatory</t>
  </si>
  <si>
    <t>PO No.</t>
  </si>
  <si>
    <t>Date :</t>
  </si>
  <si>
    <t xml:space="preserve">Rate </t>
  </si>
  <si>
    <t>GSTIN :</t>
  </si>
  <si>
    <t>CGST</t>
  </si>
  <si>
    <t>(To be paid by Buyer at actuals)</t>
  </si>
  <si>
    <t>Total Taxable Amount</t>
  </si>
  <si>
    <t>Total Amount After Tax</t>
  </si>
  <si>
    <t>Reverse Charge :</t>
  </si>
  <si>
    <t>IGST</t>
  </si>
  <si>
    <t>Packing/Loading/Unloading/Transport</t>
  </si>
  <si>
    <t>hsn code</t>
  </si>
  <si>
    <t>SCGST</t>
  </si>
  <si>
    <t>RATE%</t>
  </si>
  <si>
    <t>AMOUNT</t>
  </si>
  <si>
    <t>TAXABLE VALUE</t>
  </si>
  <si>
    <t>SL. No.</t>
  </si>
  <si>
    <t>Bank Details :</t>
  </si>
  <si>
    <t>TERMS &amp; CONDITIONS:-</t>
  </si>
  <si>
    <t>TOTAL</t>
  </si>
  <si>
    <t>OM SAI ENTERPRISES</t>
  </si>
  <si>
    <t xml:space="preserve">                                                                                                       ( GSTIN:27BXXPP8115J1ZM )</t>
  </si>
  <si>
    <t>Account Name : OM SAI ENTERPRISES.</t>
  </si>
  <si>
    <t>FOR OM SAI ENTERPRISES</t>
  </si>
  <si>
    <t>1. Kindly inform of any issues related to the Invoice within 2 Days</t>
  </si>
  <si>
    <t xml:space="preserve">2. PAYMENT- AGINST ON DELIVERY. </t>
  </si>
  <si>
    <t>3. GOODS ONCE SALE DOESN'T TAKEN RETURN IF ANY MANUFACTURING DEFECTS INFORM WITHIN 2 DAYS OF DELIVERY.</t>
  </si>
  <si>
    <t>Account No. 013720110000551</t>
  </si>
  <si>
    <t>IFSC Code - BKID0000137</t>
  </si>
  <si>
    <t>Bank Name : BANK OF INDIA , GOLDEN NEST BRANCH</t>
  </si>
  <si>
    <t>MAHARASHTRA</t>
  </si>
  <si>
    <t>Qty (KGS)</t>
  </si>
  <si>
    <t>ALI AND HAN EXPORT</t>
  </si>
  <si>
    <t>300 , DUNCAN ROAD</t>
  </si>
  <si>
    <t>MAULANA AZAD ROAD</t>
  </si>
  <si>
    <t>MUMBAI CITY , MUMBAI -400004</t>
  </si>
  <si>
    <t>27AACPK4859M1Z7</t>
  </si>
  <si>
    <t>BALE NO</t>
  </si>
  <si>
    <t>NT WT</t>
  </si>
  <si>
    <t>DESIGN</t>
  </si>
  <si>
    <t>SIZE</t>
  </si>
  <si>
    <t>COLOUR</t>
  </si>
  <si>
    <t xml:space="preserve">PCS </t>
  </si>
  <si>
    <t>G WT</t>
  </si>
  <si>
    <t>YARN DYED</t>
  </si>
  <si>
    <t>75X150</t>
  </si>
  <si>
    <t>ASSORTED</t>
  </si>
  <si>
    <t>BATH</t>
  </si>
  <si>
    <t>L BATH</t>
  </si>
  <si>
    <t>HAND</t>
  </si>
  <si>
    <t>FACE</t>
  </si>
  <si>
    <t>ESSENTIAL BATH</t>
  </si>
  <si>
    <t>MIX HAND</t>
  </si>
  <si>
    <t>CREDIT NOTE</t>
  </si>
  <si>
    <t>MOB.: 9307020467</t>
  </si>
  <si>
    <t>CN No.</t>
  </si>
  <si>
    <t>PLAIN DYED BATH</t>
  </si>
  <si>
    <t>05.02.2026</t>
  </si>
  <si>
    <t>AGAINST BILL NO - OSE-2526-191</t>
  </si>
  <si>
    <t>Amount in Words :FIVE THOUSAND SIX HUNDRED SEVENTY SEVEN ONLY.</t>
  </si>
  <si>
    <t>OSE-2526-CN004</t>
  </si>
  <si>
    <t>A-306 , RAJCLASSIC CHSL , OPP SHALOM HOSPITAL , INDRALOK PHASE 6 , BHAYANDER EAST , THANE -401105 ,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</si>
</sst>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;[Red]0.00"/>
    <numFmt numFmtId="165" formatCode="0.0%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opperplate Gothic Light"/>
      <family val="2"/>
    </font>
    <font>
      <b/>
      <sz val="10"/>
      <color theme="1"/>
      <name val="Copperplate Gothic Light"/>
      <family val="2"/>
    </font>
    <font>
      <sz val="10"/>
      <color theme="1"/>
      <name val="Calibri"/>
      <family val="2"/>
      <scheme val="minor"/>
    </font>
    <font>
      <b/>
      <sz val="30"/>
      <name val="Copperplate Gothic Light"/>
      <family val="2"/>
    </font>
    <font>
      <b/>
      <sz val="11"/>
      <color theme="1"/>
      <name val="Copperplate Gothic Light"/>
      <family val="2"/>
    </font>
    <font>
      <b/>
      <sz val="9"/>
      <color theme="1"/>
      <name val="Copperplate Gothic Light"/>
      <family val="2"/>
    </font>
    <font>
      <sz val="12"/>
      <color theme="1"/>
      <name val="Calibri"/>
      <family val="2"/>
      <scheme val="minor"/>
    </font>
    <font>
      <sz val="12"/>
      <color theme="1"/>
      <name val="Copperplate Gothic Light"/>
      <family val="2"/>
    </font>
    <font>
      <b/>
      <sz val="14"/>
      <color theme="1"/>
      <name val="Copperplate Gothic Light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pperplate Gothic Light"/>
      <family val="2"/>
    </font>
    <font>
      <sz val="11"/>
      <color theme="1"/>
      <name val="Copperplate Gothic Light"/>
      <family val="2"/>
    </font>
    <font>
      <b/>
      <sz val="9"/>
      <name val="Copperplate Gothic Light"/>
      <family val="2"/>
    </font>
    <font>
      <sz val="14"/>
      <color theme="1"/>
      <name val="Calibri"/>
      <family val="2"/>
      <scheme val="minor"/>
    </font>
    <font>
      <sz val="9"/>
      <color theme="1"/>
      <name val="Copperplate Gothic Light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164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8" xfId="0" applyBorder="1"/>
    <xf numFmtId="0" fontId="1" fillId="0" borderId="8" xfId="0" applyFont="1" applyBorder="1"/>
    <xf numFmtId="9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8" xfId="0" applyFont="1" applyBorder="1"/>
    <xf numFmtId="0" fontId="1" fillId="0" borderId="7" xfId="0" applyFont="1" applyBorder="1"/>
    <xf numFmtId="0" fontId="0" fillId="0" borderId="2" xfId="0" applyBorder="1"/>
    <xf numFmtId="0" fontId="1" fillId="0" borderId="6" xfId="0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8" xfId="0" applyFont="1" applyBorder="1"/>
    <xf numFmtId="0" fontId="0" fillId="0" borderId="13" xfId="0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10" fillId="0" borderId="5" xfId="0" applyFont="1" applyBorder="1"/>
    <xf numFmtId="0" fontId="11" fillId="0" borderId="0" xfId="0" applyFont="1" applyAlignment="1">
      <alignment vertical="center"/>
    </xf>
    <xf numFmtId="164" fontId="0" fillId="0" borderId="8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164" fontId="1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3" fillId="0" borderId="8" xfId="0" applyFont="1" applyBorder="1"/>
    <xf numFmtId="0" fontId="10" fillId="0" borderId="10" xfId="0" applyFont="1" applyBorder="1"/>
    <xf numFmtId="0" fontId="0" fillId="0" borderId="5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6" fillId="0" borderId="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5" fontId="1" fillId="0" borderId="8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8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1" fillId="0" borderId="0" xfId="0" applyFont="1"/>
    <xf numFmtId="0" fontId="11" fillId="0" borderId="8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0" xfId="0" applyNumberFormat="1" applyFont="1" applyAlignment="1">
      <alignment horizontal="left"/>
    </xf>
    <xf numFmtId="14" fontId="1" fillId="0" borderId="1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3"/>
  <sheetViews>
    <sheetView tabSelected="1" view="pageBreakPreview" zoomScale="106" zoomScaleSheetLayoutView="106" workbookViewId="0">
      <selection activeCell="K10" sqref="K10"/>
    </sheetView>
  </sheetViews>
  <sheetFormatPr defaultColWidth="9.109375" defaultRowHeight="14.4" x14ac:dyDescent="0.3"/>
  <cols>
    <col min="1" max="1" width="9.6640625" customWidth="1"/>
    <col min="2" max="2" width="12.6640625" customWidth="1"/>
    <col min="3" max="4" width="9" customWidth="1"/>
    <col min="5" max="5" width="9.6640625" style="5" customWidth="1"/>
    <col min="6" max="6" width="12.109375" style="5" bestFit="1" customWidth="1"/>
    <col min="7" max="7" width="13.88671875" style="5" bestFit="1" customWidth="1"/>
    <col min="8" max="8" width="10.44140625" bestFit="1" customWidth="1"/>
    <col min="9" max="9" width="15.33203125" bestFit="1" customWidth="1"/>
    <col min="11" max="11" width="9.88671875" bestFit="1" customWidth="1"/>
    <col min="13" max="13" width="9.88671875" bestFit="1" customWidth="1"/>
    <col min="15" max="15" width="9.88671875" bestFit="1" customWidth="1"/>
    <col min="16" max="16" width="15.33203125" bestFit="1" customWidth="1"/>
  </cols>
  <sheetData>
    <row r="1" spans="1:16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30" customHeight="1" x14ac:dyDescent="0.3">
      <c r="A2" s="69" t="s">
        <v>25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1"/>
    </row>
    <row r="3" spans="1:16" ht="15" customHeight="1" x14ac:dyDescent="0.3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4"/>
    </row>
    <row r="4" spans="1:16" ht="15" customHeight="1" x14ac:dyDescent="0.3">
      <c r="A4" s="90" t="s">
        <v>66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2"/>
    </row>
    <row r="5" spans="1:16" ht="21.75" customHeight="1" x14ac:dyDescent="0.3">
      <c r="A5" s="75" t="s">
        <v>26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7"/>
      <c r="M5" s="81" t="s">
        <v>59</v>
      </c>
      <c r="N5" s="82"/>
      <c r="O5" s="82"/>
      <c r="P5" s="83"/>
    </row>
    <row r="6" spans="1:16" ht="17.100000000000001" customHeight="1" x14ac:dyDescent="0.3">
      <c r="A6" s="78" t="s">
        <v>58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80"/>
    </row>
    <row r="7" spans="1:16" x14ac:dyDescent="0.3">
      <c r="A7" s="39" t="s">
        <v>0</v>
      </c>
      <c r="B7" s="1"/>
      <c r="C7" s="1"/>
      <c r="D7" s="1"/>
      <c r="E7" s="1"/>
      <c r="F7" s="1"/>
      <c r="G7" s="1"/>
      <c r="H7" s="17"/>
      <c r="I7" s="17"/>
      <c r="J7" s="17"/>
      <c r="K7" s="4"/>
      <c r="L7" s="3" t="s">
        <v>6</v>
      </c>
      <c r="M7" s="86" t="s">
        <v>62</v>
      </c>
      <c r="N7" s="86"/>
      <c r="O7" s="86"/>
      <c r="P7" s="87"/>
    </row>
    <row r="8" spans="1:16" x14ac:dyDescent="0.3">
      <c r="A8" s="12" t="s">
        <v>1</v>
      </c>
      <c r="B8" s="1" t="s">
        <v>37</v>
      </c>
      <c r="C8" s="1"/>
      <c r="D8" s="1"/>
      <c r="E8" s="1"/>
      <c r="F8" s="1"/>
      <c r="G8" s="1"/>
      <c r="H8" s="17"/>
      <c r="I8" s="17"/>
      <c r="J8" s="17"/>
      <c r="K8" s="4"/>
      <c r="L8" s="3" t="s">
        <v>60</v>
      </c>
      <c r="M8" s="86" t="s">
        <v>65</v>
      </c>
      <c r="N8" s="86"/>
      <c r="O8" s="86"/>
      <c r="P8" s="87"/>
    </row>
    <row r="9" spans="1:16" x14ac:dyDescent="0.3">
      <c r="A9" s="12"/>
      <c r="B9" s="1" t="s">
        <v>38</v>
      </c>
      <c r="C9" s="1"/>
      <c r="D9" s="1"/>
      <c r="E9" s="1"/>
      <c r="F9" s="1"/>
      <c r="G9" s="1"/>
      <c r="H9" s="4"/>
      <c r="I9" s="4"/>
      <c r="J9" s="4"/>
      <c r="K9" s="4"/>
      <c r="L9" s="93" t="s">
        <v>63</v>
      </c>
      <c r="M9" s="93"/>
      <c r="N9" s="93"/>
      <c r="O9" s="93"/>
      <c r="P9" s="94"/>
    </row>
    <row r="10" spans="1:16" x14ac:dyDescent="0.3">
      <c r="A10" s="12"/>
      <c r="B10" s="1" t="s">
        <v>39</v>
      </c>
      <c r="C10" s="1"/>
      <c r="D10" s="1"/>
      <c r="E10" s="1"/>
      <c r="F10" s="1"/>
      <c r="G10" s="1"/>
      <c r="H10" s="4"/>
      <c r="I10" s="4"/>
      <c r="J10" s="4"/>
      <c r="K10" s="4"/>
      <c r="L10" s="3" t="s">
        <v>5</v>
      </c>
      <c r="M10" s="1"/>
      <c r="N10" s="88"/>
      <c r="O10" s="88"/>
      <c r="P10" s="89"/>
    </row>
    <row r="11" spans="1:16" x14ac:dyDescent="0.3">
      <c r="A11" s="12"/>
      <c r="B11" s="24" t="s">
        <v>40</v>
      </c>
      <c r="C11" s="24"/>
      <c r="D11" s="24"/>
      <c r="E11" s="24"/>
      <c r="F11" s="24"/>
      <c r="G11" s="24"/>
      <c r="H11" s="26"/>
      <c r="I11" s="26"/>
      <c r="J11" s="4"/>
      <c r="K11" s="4"/>
      <c r="L11" s="1" t="s">
        <v>13</v>
      </c>
      <c r="M11" s="1"/>
      <c r="N11" s="88"/>
      <c r="O11" s="88"/>
      <c r="P11" s="89"/>
    </row>
    <row r="12" spans="1:16" x14ac:dyDescent="0.3">
      <c r="A12" s="12"/>
      <c r="B12" s="93" t="s">
        <v>35</v>
      </c>
      <c r="C12" s="93"/>
      <c r="D12" s="1"/>
      <c r="E12" s="1"/>
      <c r="F12" s="1"/>
      <c r="G12" s="1"/>
      <c r="H12" s="26"/>
      <c r="I12" s="26"/>
      <c r="J12" s="26"/>
      <c r="K12" s="26"/>
      <c r="L12" s="96"/>
      <c r="M12" s="96"/>
      <c r="N12" s="96"/>
      <c r="O12" s="96"/>
      <c r="P12" s="97"/>
    </row>
    <row r="13" spans="1:16" ht="15.6" x14ac:dyDescent="0.3">
      <c r="A13" s="40"/>
      <c r="B13" s="4" t="s">
        <v>8</v>
      </c>
      <c r="C13" s="25" t="s">
        <v>41</v>
      </c>
      <c r="D13" s="25"/>
      <c r="E13" s="36"/>
      <c r="F13" s="25"/>
      <c r="G13" s="25"/>
      <c r="H13" s="25"/>
      <c r="I13" s="25"/>
      <c r="J13" s="25"/>
      <c r="K13" s="25"/>
      <c r="P13" s="38"/>
    </row>
    <row r="14" spans="1:16" x14ac:dyDescent="0.3">
      <c r="A14" s="14"/>
      <c r="B14" s="98"/>
      <c r="C14" s="98"/>
      <c r="D14" s="98"/>
      <c r="E14" s="98"/>
      <c r="F14" s="99"/>
      <c r="G14" s="99"/>
      <c r="H14" s="99"/>
      <c r="I14" s="100"/>
      <c r="J14" s="84" t="s">
        <v>9</v>
      </c>
      <c r="K14" s="85"/>
      <c r="L14" s="85" t="s">
        <v>17</v>
      </c>
      <c r="M14" s="85"/>
      <c r="N14" s="85" t="s">
        <v>14</v>
      </c>
      <c r="O14" s="85"/>
      <c r="P14" s="13"/>
    </row>
    <row r="15" spans="1:16" x14ac:dyDescent="0.3">
      <c r="A15" s="10" t="s">
        <v>21</v>
      </c>
      <c r="B15" s="101" t="s">
        <v>2</v>
      </c>
      <c r="C15" s="101"/>
      <c r="D15" s="101"/>
      <c r="E15" s="101"/>
      <c r="F15" s="11" t="s">
        <v>16</v>
      </c>
      <c r="G15" s="10" t="s">
        <v>36</v>
      </c>
      <c r="H15" s="33" t="s">
        <v>7</v>
      </c>
      <c r="I15" s="5" t="s">
        <v>20</v>
      </c>
      <c r="J15" s="5" t="s">
        <v>18</v>
      </c>
      <c r="K15" s="5" t="s">
        <v>19</v>
      </c>
      <c r="L15" s="5" t="s">
        <v>18</v>
      </c>
      <c r="M15" s="5" t="s">
        <v>19</v>
      </c>
      <c r="N15" s="5" t="s">
        <v>18</v>
      </c>
      <c r="O15" s="5" t="s">
        <v>19</v>
      </c>
      <c r="P15" s="22" t="s">
        <v>24</v>
      </c>
    </row>
    <row r="16" spans="1:16" x14ac:dyDescent="0.3">
      <c r="A16" s="28"/>
      <c r="B16" s="53"/>
      <c r="C16" s="54"/>
      <c r="D16" s="54"/>
      <c r="E16" s="55"/>
      <c r="F16" s="6"/>
      <c r="G16" s="28"/>
      <c r="H16" s="34"/>
      <c r="I16" s="2"/>
      <c r="J16" s="7"/>
      <c r="K16" s="8"/>
      <c r="L16" s="7"/>
      <c r="M16" s="8"/>
      <c r="N16" s="7"/>
      <c r="O16" s="8"/>
      <c r="P16" s="27"/>
    </row>
    <row r="17" spans="1:16" x14ac:dyDescent="0.3">
      <c r="A17" s="28">
        <v>1</v>
      </c>
      <c r="B17" s="56" t="s">
        <v>61</v>
      </c>
      <c r="C17" s="57"/>
      <c r="D17" s="57"/>
      <c r="E17" s="57"/>
      <c r="F17" s="28">
        <v>63026090</v>
      </c>
      <c r="G17" s="28">
        <v>16.14</v>
      </c>
      <c r="H17" s="32">
        <v>335</v>
      </c>
      <c r="I17" s="2">
        <f t="shared" ref="I17" si="0">G17*H17</f>
        <v>5406.9000000000005</v>
      </c>
      <c r="J17" s="46">
        <v>2.5000000000000001E-2</v>
      </c>
      <c r="K17" s="8">
        <f t="shared" ref="K17" si="1">I17*J17</f>
        <v>135.17250000000001</v>
      </c>
      <c r="L17" s="46">
        <v>2.5000000000000001E-2</v>
      </c>
      <c r="M17" s="8">
        <f t="shared" ref="M17" si="2">I17*L17</f>
        <v>135.17250000000001</v>
      </c>
      <c r="N17" s="7">
        <v>0</v>
      </c>
      <c r="O17" s="8">
        <f t="shared" ref="O17" si="3">I17*N17</f>
        <v>0</v>
      </c>
      <c r="P17" s="27">
        <f t="shared" ref="P17" si="4">SUM(I17,K17,M17,O17)</f>
        <v>5677.2449999999999</v>
      </c>
    </row>
    <row r="18" spans="1:16" x14ac:dyDescent="0.3">
      <c r="A18" s="28"/>
      <c r="B18" s="56"/>
      <c r="C18" s="57"/>
      <c r="D18" s="57"/>
      <c r="E18" s="57"/>
      <c r="F18" s="28"/>
      <c r="G18" s="28"/>
      <c r="H18" s="32"/>
      <c r="I18" s="2"/>
      <c r="J18" s="46"/>
      <c r="K18" s="8"/>
      <c r="L18" s="46"/>
      <c r="M18" s="8"/>
      <c r="N18" s="7"/>
      <c r="O18" s="8"/>
      <c r="P18" s="27"/>
    </row>
    <row r="19" spans="1:16" x14ac:dyDescent="0.3">
      <c r="A19" s="28"/>
      <c r="B19" s="56"/>
      <c r="C19" s="57"/>
      <c r="D19" s="57"/>
      <c r="E19" s="57"/>
      <c r="F19" s="28"/>
      <c r="G19" s="28"/>
      <c r="H19" s="32"/>
      <c r="I19" s="2"/>
      <c r="J19" s="46"/>
      <c r="K19" s="8"/>
      <c r="L19" s="46"/>
      <c r="M19" s="8"/>
      <c r="N19" s="7"/>
      <c r="O19" s="8"/>
      <c r="P19" s="27"/>
    </row>
    <row r="20" spans="1:16" x14ac:dyDescent="0.3">
      <c r="A20" s="28"/>
      <c r="B20" s="56"/>
      <c r="C20" s="57"/>
      <c r="D20" s="57"/>
      <c r="E20" s="57"/>
      <c r="F20" s="28"/>
      <c r="G20" s="28"/>
      <c r="H20" s="32"/>
      <c r="I20" s="2"/>
      <c r="J20" s="46"/>
      <c r="K20" s="8"/>
      <c r="L20" s="46"/>
      <c r="M20" s="8"/>
      <c r="N20" s="7"/>
      <c r="O20" s="8"/>
      <c r="P20" s="27"/>
    </row>
    <row r="21" spans="1:16" x14ac:dyDescent="0.3">
      <c r="A21" s="28"/>
      <c r="B21" s="53"/>
      <c r="C21" s="54"/>
      <c r="D21" s="54"/>
      <c r="E21" s="54"/>
      <c r="F21" s="6"/>
      <c r="G21" s="28"/>
      <c r="H21" s="32"/>
      <c r="I21" s="2"/>
      <c r="J21" s="7"/>
      <c r="K21" s="8"/>
      <c r="L21" s="7"/>
      <c r="M21" s="8"/>
      <c r="N21" s="7"/>
      <c r="O21" s="8"/>
      <c r="P21" s="27"/>
    </row>
    <row r="22" spans="1:16" x14ac:dyDescent="0.3">
      <c r="A22" s="65" t="s">
        <v>11</v>
      </c>
      <c r="B22" s="65"/>
      <c r="C22" s="65"/>
      <c r="D22" s="14"/>
      <c r="E22" s="6"/>
      <c r="F22" s="6"/>
      <c r="G22" s="31">
        <f>SUM(G17:G21)</f>
        <v>16.14</v>
      </c>
      <c r="H22" s="29"/>
      <c r="I22" s="31">
        <f>SUM(I17:I21)</f>
        <v>5406.9000000000005</v>
      </c>
      <c r="J22" s="29"/>
      <c r="K22" s="29"/>
      <c r="L22" s="29"/>
      <c r="M22" s="29"/>
      <c r="N22" s="29"/>
      <c r="O22" s="30"/>
      <c r="P22" s="9">
        <f>SUM(P16:P21)</f>
        <v>5677.2449999999999</v>
      </c>
    </row>
    <row r="23" spans="1:16" x14ac:dyDescent="0.3">
      <c r="A23" s="65" t="s">
        <v>15</v>
      </c>
      <c r="B23" s="65"/>
      <c r="C23" s="65"/>
      <c r="D23" s="65"/>
      <c r="E23" s="65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5"/>
    </row>
    <row r="24" spans="1:16" x14ac:dyDescent="0.3">
      <c r="A24" s="65" t="s">
        <v>3</v>
      </c>
      <c r="B24" s="65"/>
      <c r="C24" s="65"/>
      <c r="D24" s="65" t="s">
        <v>10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5"/>
    </row>
    <row r="25" spans="1:16" x14ac:dyDescent="0.3">
      <c r="A25" s="62" t="s">
        <v>12</v>
      </c>
      <c r="B25" s="63"/>
      <c r="C25" s="64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9">
        <v>5677</v>
      </c>
    </row>
    <row r="26" spans="1:16" x14ac:dyDescent="0.3">
      <c r="A26" s="59" t="s">
        <v>64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</row>
    <row r="27" spans="1:16" x14ac:dyDescent="0.3">
      <c r="A27" s="6"/>
      <c r="B27" s="65"/>
      <c r="C27" s="65"/>
      <c r="D27" s="65"/>
      <c r="E27" s="65"/>
      <c r="F27" s="65"/>
      <c r="G27" s="65"/>
      <c r="H27" s="66"/>
      <c r="I27" s="66"/>
      <c r="J27" s="66"/>
      <c r="K27" s="66"/>
      <c r="L27" s="66"/>
      <c r="M27" s="66"/>
      <c r="N27" s="67" t="s">
        <v>28</v>
      </c>
      <c r="O27" s="67"/>
      <c r="P27" s="67"/>
    </row>
    <row r="28" spans="1:16" x14ac:dyDescent="0.3">
      <c r="A28" s="58" t="s">
        <v>22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16"/>
      <c r="O28" s="17"/>
      <c r="P28" s="18"/>
    </row>
    <row r="29" spans="1:16" x14ac:dyDescent="0.3">
      <c r="A29" s="58" t="s">
        <v>27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19"/>
      <c r="O29" s="4"/>
      <c r="P29" s="20"/>
    </row>
    <row r="30" spans="1:16" x14ac:dyDescent="0.3">
      <c r="A30" s="58" t="s">
        <v>32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19"/>
      <c r="O30" s="4"/>
      <c r="P30" s="20"/>
    </row>
    <row r="31" spans="1:16" x14ac:dyDescent="0.3">
      <c r="A31" s="58" t="s">
        <v>34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19"/>
      <c r="O31" s="4"/>
      <c r="P31" s="20"/>
    </row>
    <row r="32" spans="1:16" x14ac:dyDescent="0.3">
      <c r="A32" s="58" t="s">
        <v>33</v>
      </c>
      <c r="B32" s="58"/>
      <c r="C32" s="58"/>
      <c r="D32" s="58"/>
      <c r="E32" s="102"/>
      <c r="F32" s="102"/>
      <c r="G32" s="102"/>
      <c r="H32" s="102"/>
      <c r="I32" s="58"/>
      <c r="J32" s="58"/>
      <c r="K32" s="58"/>
      <c r="L32" s="58"/>
      <c r="M32" s="58"/>
      <c r="N32" s="19"/>
      <c r="O32" s="4"/>
      <c r="P32" s="20"/>
    </row>
    <row r="33" spans="1:16" x14ac:dyDescent="0.3">
      <c r="A33" s="21" t="s">
        <v>23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01" t="s">
        <v>4</v>
      </c>
      <c r="O33" s="101"/>
      <c r="P33" s="101"/>
    </row>
    <row r="34" spans="1:16" x14ac:dyDescent="0.3">
      <c r="A34" s="41" t="s">
        <v>29</v>
      </c>
      <c r="B34" s="41"/>
      <c r="C34" s="41"/>
      <c r="D34" s="41"/>
      <c r="E34" s="42"/>
      <c r="F34" s="42"/>
      <c r="G34" s="42"/>
      <c r="H34" s="42"/>
      <c r="I34" s="41"/>
      <c r="J34" s="41"/>
      <c r="K34" s="41"/>
      <c r="L34" s="41"/>
      <c r="M34" s="41"/>
      <c r="N34" s="41"/>
      <c r="O34" s="41"/>
      <c r="P34" s="41"/>
    </row>
    <row r="35" spans="1:16" x14ac:dyDescent="0.3">
      <c r="A35" s="43" t="s">
        <v>30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5"/>
    </row>
    <row r="36" spans="1:16" x14ac:dyDescent="0.3">
      <c r="A36" s="95" t="s">
        <v>31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</row>
    <row r="37" spans="1:16" x14ac:dyDescent="0.3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</row>
    <row r="38" spans="1:16" x14ac:dyDescent="0.3">
      <c r="E38"/>
      <c r="F38"/>
      <c r="G38"/>
    </row>
    <row r="39" spans="1:16" x14ac:dyDescent="0.3">
      <c r="E39"/>
      <c r="F39"/>
      <c r="G39"/>
    </row>
    <row r="40" spans="1:16" x14ac:dyDescent="0.3">
      <c r="E40"/>
      <c r="F40"/>
      <c r="G40"/>
    </row>
    <row r="41" spans="1:16" x14ac:dyDescent="0.3">
      <c r="C41" s="4"/>
      <c r="D41" s="4"/>
      <c r="E41" s="21"/>
      <c r="F41" s="6"/>
      <c r="G41" s="6"/>
    </row>
    <row r="42" spans="1:16" x14ac:dyDescent="0.3">
      <c r="C42" s="1"/>
      <c r="D42" s="1"/>
      <c r="E42" s="6"/>
      <c r="F42" s="6"/>
    </row>
    <row r="43" spans="1:16" x14ac:dyDescent="0.3">
      <c r="C43" s="23"/>
      <c r="D43" s="23"/>
      <c r="E43" s="35"/>
      <c r="F43" s="35"/>
      <c r="G43" s="35"/>
    </row>
  </sheetData>
  <mergeCells count="43">
    <mergeCell ref="A37:P37"/>
    <mergeCell ref="N12:P12"/>
    <mergeCell ref="B14:I14"/>
    <mergeCell ref="F23:O23"/>
    <mergeCell ref="A24:C24"/>
    <mergeCell ref="D24:O24"/>
    <mergeCell ref="B15:E15"/>
    <mergeCell ref="L12:M12"/>
    <mergeCell ref="A30:M30"/>
    <mergeCell ref="A28:M28"/>
    <mergeCell ref="A22:C22"/>
    <mergeCell ref="A23:E23"/>
    <mergeCell ref="A36:P36"/>
    <mergeCell ref="N33:P33"/>
    <mergeCell ref="A32:M32"/>
    <mergeCell ref="A31:M31"/>
    <mergeCell ref="A2:P3"/>
    <mergeCell ref="A5:L5"/>
    <mergeCell ref="A6:P6"/>
    <mergeCell ref="M5:P5"/>
    <mergeCell ref="J14:K14"/>
    <mergeCell ref="L14:M14"/>
    <mergeCell ref="N14:O14"/>
    <mergeCell ref="M7:P7"/>
    <mergeCell ref="M8:P8"/>
    <mergeCell ref="N10:P10"/>
    <mergeCell ref="N11:P11"/>
    <mergeCell ref="A4:P4"/>
    <mergeCell ref="B12:C12"/>
    <mergeCell ref="L9:P9"/>
    <mergeCell ref="B16:E16"/>
    <mergeCell ref="B21:E21"/>
    <mergeCell ref="B20:E20"/>
    <mergeCell ref="A29:M29"/>
    <mergeCell ref="A26:P26"/>
    <mergeCell ref="A25:C25"/>
    <mergeCell ref="B27:G27"/>
    <mergeCell ref="H27:M27"/>
    <mergeCell ref="N27:P27"/>
    <mergeCell ref="D25:O25"/>
    <mergeCell ref="B17:E17"/>
    <mergeCell ref="B18:E18"/>
    <mergeCell ref="B19:E19"/>
  </mergeCells>
  <printOptions horizontalCentered="1" verticalCentered="1"/>
  <pageMargins left="0.25" right="0" top="0.15748031496062992" bottom="0.35433070866141736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4:R20"/>
  <sheetViews>
    <sheetView workbookViewId="0">
      <selection activeCell="D3" sqref="D3:S21"/>
    </sheetView>
  </sheetViews>
  <sheetFormatPr defaultRowHeight="14.4" x14ac:dyDescent="0.3"/>
  <cols>
    <col min="5" max="5" width="8.88671875" style="48"/>
    <col min="6" max="6" width="15.109375" style="48" bestFit="1" customWidth="1"/>
    <col min="7" max="8" width="12.44140625" style="48" customWidth="1"/>
    <col min="9" max="11" width="8.88671875" style="48"/>
    <col min="12" max="18" width="0" hidden="1" customWidth="1"/>
  </cols>
  <sheetData>
    <row r="4" spans="5:18" x14ac:dyDescent="0.3">
      <c r="E4" s="49" t="s">
        <v>42</v>
      </c>
      <c r="F4" s="49" t="s">
        <v>44</v>
      </c>
      <c r="G4" s="49" t="s">
        <v>45</v>
      </c>
      <c r="H4" s="49" t="s">
        <v>46</v>
      </c>
      <c r="I4" s="49" t="s">
        <v>47</v>
      </c>
      <c r="J4" s="49" t="s">
        <v>48</v>
      </c>
      <c r="K4" s="49" t="s">
        <v>43</v>
      </c>
    </row>
    <row r="5" spans="5:18" x14ac:dyDescent="0.3">
      <c r="E5" s="49">
        <v>1</v>
      </c>
      <c r="F5" s="49" t="s">
        <v>56</v>
      </c>
      <c r="G5" s="49" t="s">
        <v>50</v>
      </c>
      <c r="H5" s="49" t="s">
        <v>51</v>
      </c>
      <c r="I5" s="49">
        <v>100</v>
      </c>
      <c r="J5" s="49">
        <v>57.78</v>
      </c>
      <c r="K5" s="49">
        <f>+J5-0.2</f>
        <v>57.58</v>
      </c>
      <c r="L5" s="50">
        <f>+K5/I5</f>
        <v>0.57579999999999998</v>
      </c>
      <c r="N5">
        <v>1</v>
      </c>
      <c r="O5" t="s">
        <v>52</v>
      </c>
      <c r="P5">
        <v>24</v>
      </c>
      <c r="Q5">
        <v>0.54</v>
      </c>
      <c r="R5">
        <f>+Q5*P5</f>
        <v>12.96</v>
      </c>
    </row>
    <row r="6" spans="5:18" x14ac:dyDescent="0.3">
      <c r="E6" s="49">
        <v>2</v>
      </c>
      <c r="F6" s="52" t="s">
        <v>56</v>
      </c>
      <c r="G6" s="52" t="s">
        <v>50</v>
      </c>
      <c r="H6" s="52" t="s">
        <v>51</v>
      </c>
      <c r="I6" s="52">
        <v>100</v>
      </c>
      <c r="J6" s="49">
        <v>57.66</v>
      </c>
      <c r="K6" s="49">
        <f t="shared" ref="K6:K19" si="0">+J6-0.2</f>
        <v>57.459999999999994</v>
      </c>
      <c r="L6" s="50">
        <f t="shared" ref="L6:L19" si="1">+K6/I6</f>
        <v>0.57459999999999989</v>
      </c>
      <c r="N6">
        <v>2</v>
      </c>
      <c r="O6" t="s">
        <v>53</v>
      </c>
      <c r="P6">
        <v>24</v>
      </c>
      <c r="Q6">
        <v>0.36</v>
      </c>
      <c r="R6">
        <f t="shared" ref="R6:R8" si="2">+Q6*P6</f>
        <v>8.64</v>
      </c>
    </row>
    <row r="7" spans="5:18" x14ac:dyDescent="0.3">
      <c r="E7" s="49">
        <v>3</v>
      </c>
      <c r="F7" s="52" t="s">
        <v>56</v>
      </c>
      <c r="G7" s="52" t="s">
        <v>50</v>
      </c>
      <c r="H7" s="52" t="s">
        <v>51</v>
      </c>
      <c r="I7" s="52">
        <v>100</v>
      </c>
      <c r="J7" s="49">
        <v>56.84</v>
      </c>
      <c r="K7" s="49">
        <f t="shared" si="0"/>
        <v>56.64</v>
      </c>
      <c r="L7" s="50">
        <f t="shared" si="1"/>
        <v>0.56640000000000001</v>
      </c>
      <c r="N7">
        <v>3</v>
      </c>
      <c r="O7" t="s">
        <v>54</v>
      </c>
      <c r="P7">
        <v>48</v>
      </c>
      <c r="Q7">
        <v>0.13</v>
      </c>
      <c r="R7">
        <f t="shared" si="2"/>
        <v>6.24</v>
      </c>
    </row>
    <row r="8" spans="5:18" x14ac:dyDescent="0.3">
      <c r="E8" s="49">
        <v>4</v>
      </c>
      <c r="F8" s="52" t="s">
        <v>56</v>
      </c>
      <c r="G8" s="52" t="s">
        <v>50</v>
      </c>
      <c r="H8" s="52" t="s">
        <v>51</v>
      </c>
      <c r="I8" s="52">
        <v>100</v>
      </c>
      <c r="J8" s="49">
        <v>56.82</v>
      </c>
      <c r="K8" s="49">
        <f t="shared" si="0"/>
        <v>56.62</v>
      </c>
      <c r="L8" s="50">
        <f t="shared" si="1"/>
        <v>0.56619999999999993</v>
      </c>
      <c r="N8">
        <v>4</v>
      </c>
      <c r="O8" t="s">
        <v>55</v>
      </c>
      <c r="P8">
        <v>48</v>
      </c>
      <c r="Q8">
        <v>5.3999999999999999E-2</v>
      </c>
      <c r="R8">
        <f t="shared" si="2"/>
        <v>2.5920000000000001</v>
      </c>
    </row>
    <row r="9" spans="5:18" x14ac:dyDescent="0.3">
      <c r="E9" s="49">
        <v>5</v>
      </c>
      <c r="F9" s="52" t="s">
        <v>56</v>
      </c>
      <c r="G9" s="52" t="s">
        <v>50</v>
      </c>
      <c r="H9" s="52" t="s">
        <v>51</v>
      </c>
      <c r="I9" s="52">
        <v>100</v>
      </c>
      <c r="J9" s="49">
        <v>57.72</v>
      </c>
      <c r="K9" s="49">
        <f t="shared" si="0"/>
        <v>57.519999999999996</v>
      </c>
      <c r="L9" s="50">
        <f t="shared" si="1"/>
        <v>0.57519999999999993</v>
      </c>
      <c r="R9" s="51">
        <f>SUM(R5:R8)</f>
        <v>30.432000000000002</v>
      </c>
    </row>
    <row r="10" spans="5:18" x14ac:dyDescent="0.3">
      <c r="E10" s="49">
        <v>6</v>
      </c>
      <c r="F10" s="52" t="s">
        <v>56</v>
      </c>
      <c r="G10" s="52" t="s">
        <v>50</v>
      </c>
      <c r="H10" s="52" t="s">
        <v>51</v>
      </c>
      <c r="I10" s="52">
        <v>100</v>
      </c>
      <c r="J10" s="49">
        <v>56.28</v>
      </c>
      <c r="K10" s="49">
        <f t="shared" si="0"/>
        <v>56.08</v>
      </c>
      <c r="L10" s="50">
        <f t="shared" si="1"/>
        <v>0.56079999999999997</v>
      </c>
    </row>
    <row r="11" spans="5:18" x14ac:dyDescent="0.3">
      <c r="E11" s="49">
        <v>7</v>
      </c>
      <c r="F11" s="52" t="s">
        <v>56</v>
      </c>
      <c r="G11" s="52" t="s">
        <v>50</v>
      </c>
      <c r="H11" s="52" t="s">
        <v>51</v>
      </c>
      <c r="I11" s="52">
        <v>100</v>
      </c>
      <c r="J11" s="49">
        <v>57.48</v>
      </c>
      <c r="K11" s="49">
        <f t="shared" si="0"/>
        <v>57.279999999999994</v>
      </c>
      <c r="L11" s="50">
        <f t="shared" si="1"/>
        <v>0.57279999999999998</v>
      </c>
    </row>
    <row r="12" spans="5:18" x14ac:dyDescent="0.3">
      <c r="E12" s="49">
        <v>8</v>
      </c>
      <c r="F12" s="52" t="s">
        <v>56</v>
      </c>
      <c r="G12" s="52" t="s">
        <v>50</v>
      </c>
      <c r="H12" s="52" t="s">
        <v>51</v>
      </c>
      <c r="I12" s="52">
        <v>100</v>
      </c>
      <c r="J12" s="49">
        <v>60.82</v>
      </c>
      <c r="K12" s="49">
        <f t="shared" si="0"/>
        <v>60.62</v>
      </c>
      <c r="L12" s="50">
        <f t="shared" si="1"/>
        <v>0.60619999999999996</v>
      </c>
    </row>
    <row r="13" spans="5:18" x14ac:dyDescent="0.3">
      <c r="E13" s="49">
        <v>9</v>
      </c>
      <c r="F13" s="52" t="s">
        <v>56</v>
      </c>
      <c r="G13" s="52" t="s">
        <v>50</v>
      </c>
      <c r="H13" s="52" t="s">
        <v>51</v>
      </c>
      <c r="I13" s="52">
        <v>107</v>
      </c>
      <c r="J13" s="49">
        <f>49.14+11.28</f>
        <v>60.42</v>
      </c>
      <c r="K13" s="49">
        <f t="shared" si="0"/>
        <v>60.22</v>
      </c>
      <c r="L13" s="50">
        <f t="shared" si="1"/>
        <v>0.56280373831775699</v>
      </c>
    </row>
    <row r="14" spans="5:18" x14ac:dyDescent="0.3">
      <c r="E14" s="49">
        <v>10</v>
      </c>
      <c r="F14" s="49" t="s">
        <v>57</v>
      </c>
      <c r="G14" s="49" t="s">
        <v>54</v>
      </c>
      <c r="H14" s="49" t="s">
        <v>51</v>
      </c>
      <c r="I14" s="49"/>
      <c r="J14" s="49">
        <v>28.52</v>
      </c>
      <c r="K14" s="49">
        <f>+J14-0.15</f>
        <v>28.37</v>
      </c>
      <c r="L14" s="50" t="e">
        <f t="shared" si="1"/>
        <v>#DIV/0!</v>
      </c>
    </row>
    <row r="15" spans="5:18" x14ac:dyDescent="0.3">
      <c r="E15" s="49">
        <v>11</v>
      </c>
      <c r="F15" s="49" t="s">
        <v>49</v>
      </c>
      <c r="G15" s="49" t="s">
        <v>52</v>
      </c>
      <c r="H15" s="49" t="s">
        <v>51</v>
      </c>
      <c r="I15" s="49">
        <v>95</v>
      </c>
      <c r="J15" s="49">
        <v>61.84</v>
      </c>
      <c r="K15" s="49">
        <f t="shared" si="0"/>
        <v>61.64</v>
      </c>
      <c r="L15" s="50">
        <f t="shared" si="1"/>
        <v>0.64884210526315789</v>
      </c>
    </row>
    <row r="16" spans="5:18" x14ac:dyDescent="0.3">
      <c r="E16" s="49">
        <v>12</v>
      </c>
      <c r="F16" s="49" t="s">
        <v>49</v>
      </c>
      <c r="G16" s="49" t="s">
        <v>52</v>
      </c>
      <c r="H16" s="49" t="s">
        <v>51</v>
      </c>
      <c r="I16" s="49">
        <v>100</v>
      </c>
      <c r="J16" s="49">
        <v>63.84</v>
      </c>
      <c r="K16" s="49">
        <f t="shared" si="0"/>
        <v>63.64</v>
      </c>
      <c r="L16" s="50">
        <f t="shared" si="1"/>
        <v>0.63639999999999997</v>
      </c>
    </row>
    <row r="17" spans="5:12" x14ac:dyDescent="0.3">
      <c r="E17" s="49">
        <v>13</v>
      </c>
      <c r="F17" s="49" t="s">
        <v>49</v>
      </c>
      <c r="G17" s="49" t="s">
        <v>52</v>
      </c>
      <c r="H17" s="49" t="s">
        <v>51</v>
      </c>
      <c r="I17" s="49">
        <v>91</v>
      </c>
      <c r="J17" s="49">
        <f>61.46-4.62</f>
        <v>56.84</v>
      </c>
      <c r="K17" s="49">
        <f t="shared" si="0"/>
        <v>56.64</v>
      </c>
      <c r="L17" s="50">
        <f t="shared" si="1"/>
        <v>0.62241758241758238</v>
      </c>
    </row>
    <row r="18" spans="5:12" x14ac:dyDescent="0.3">
      <c r="E18" s="49">
        <v>14</v>
      </c>
      <c r="F18" s="49" t="s">
        <v>49</v>
      </c>
      <c r="G18" s="49" t="s">
        <v>52</v>
      </c>
      <c r="H18" s="49" t="s">
        <v>51</v>
      </c>
      <c r="I18" s="49">
        <v>106</v>
      </c>
      <c r="J18" s="49">
        <v>65.12</v>
      </c>
      <c r="K18" s="49">
        <f t="shared" si="0"/>
        <v>64.92</v>
      </c>
      <c r="L18" s="50">
        <f t="shared" si="1"/>
        <v>0.61245283018867924</v>
      </c>
    </row>
    <row r="19" spans="5:12" x14ac:dyDescent="0.3">
      <c r="E19" s="49">
        <v>15</v>
      </c>
      <c r="F19" s="49" t="s">
        <v>49</v>
      </c>
      <c r="G19" s="49" t="s">
        <v>52</v>
      </c>
      <c r="H19" s="49" t="s">
        <v>51</v>
      </c>
      <c r="I19" s="49">
        <v>112</v>
      </c>
      <c r="J19" s="49">
        <v>68.58</v>
      </c>
      <c r="K19" s="49">
        <f t="shared" si="0"/>
        <v>68.38</v>
      </c>
      <c r="L19" s="50">
        <f t="shared" si="1"/>
        <v>0.61053571428571429</v>
      </c>
    </row>
    <row r="20" spans="5:12" x14ac:dyDescent="0.3">
      <c r="I20" s="47">
        <f>SUM(I5:I19)</f>
        <v>1411</v>
      </c>
      <c r="J20" s="47">
        <f>SUM(J5:J19)</f>
        <v>866.56000000000017</v>
      </c>
      <c r="K20" s="47">
        <f>SUM(K5:K19)</f>
        <v>863.6099999999999</v>
      </c>
    </row>
  </sheetData>
  <autoFilter ref="E4:R20"/>
  <pageMargins left="0" right="1" top="0" bottom="0" header="0.3" footer="0.3"/>
  <pageSetup paperSize="0" scale="8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Invoice</vt:lpstr>
      <vt:lpstr>Sheet1</vt:lpstr>
      <vt:lpstr>Invoice!Print_Area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Anandshah</dc:creator>
  <cp:lastModifiedBy>Admin</cp:lastModifiedBy>
  <cp:lastPrinted>2026-02-05T14:35:33Z</cp:lastPrinted>
  <dcterms:created xsi:type="dcterms:W3CDTF">2015-01-14T13:47:06Z</dcterms:created>
  <dcterms:modified xsi:type="dcterms:W3CDTF">2026-05-12T06:22:00Z</dcterms:modified>
</cp:coreProperties>
</file>